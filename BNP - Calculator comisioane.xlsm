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calin\projects\bnp-lang\"/>
    </mc:Choice>
  </mc:AlternateContent>
  <bookViews>
    <workbookView xWindow="0" yWindow="0" windowWidth="28800" windowHeight="12435" firstSheet="1" activeTab="2"/>
  </bookViews>
  <sheets>
    <sheet name="Calculator comisioane______" sheetId="3" state="hidden" r:id="rId1"/>
    <sheet name="Tabela_final" sheetId="2" r:id="rId2"/>
    <sheet name="Calculator" sheetId="4" r:id="rId3"/>
    <sheet name="Instructiuni" sheetId="5" r:id="rId4"/>
    <sheet name="omj46c_Anexa 2" sheetId="1" r:id="rId5"/>
  </sheets>
  <definedNames>
    <definedName name="_xlnm.Print_Area" localSheetId="2">Calculator!$A$1:$Q$11</definedName>
    <definedName name="tabela_final">Tabela_final!#REF!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 i="4" l="1"/>
  <c r="P6" i="4"/>
  <c r="P7" i="4"/>
  <c r="P8" i="4"/>
  <c r="P4" i="4"/>
  <c r="O5" i="4"/>
  <c r="O6" i="4"/>
  <c r="O7" i="4"/>
  <c r="O8" i="4"/>
  <c r="O4" i="4"/>
  <c r="F10" i="4"/>
  <c r="P10" i="4"/>
  <c r="O10" i="4" l="1"/>
  <c r="H10" i="4"/>
  <c r="E10" i="4"/>
  <c r="G10" i="4"/>
  <c r="C10" i="4"/>
  <c r="N10" i="4" l="1"/>
  <c r="J10" i="4"/>
  <c r="M10" i="4"/>
  <c r="L10" i="4"/>
  <c r="K10" i="4"/>
  <c r="I10" i="4"/>
  <c r="D13" i="3"/>
  <c r="D12" i="3"/>
</calcChain>
</file>

<file path=xl/comments1.xml><?xml version="1.0" encoding="utf-8"?>
<comments xmlns="http://schemas.openxmlformats.org/spreadsheetml/2006/main">
  <authors>
    <author>Calin Gabriel Bule</author>
  </authors>
  <commentList>
    <comment ref="I4" authorId="0" shapeId="0">
      <text>
        <r>
          <rPr>
            <sz val="9"/>
            <color indexed="81"/>
            <rFont val="Tahoma"/>
            <family val="2"/>
          </rPr>
          <t>10%</t>
        </r>
      </text>
    </comment>
    <comment ref="J4" authorId="0" shapeId="0">
      <text>
        <r>
          <rPr>
            <sz val="9"/>
            <color indexed="81"/>
            <rFont val="Tahoma"/>
            <family val="2"/>
          </rPr>
          <t>5%</t>
        </r>
      </text>
    </comment>
    <comment ref="K4" authorId="0" shapeId="0">
      <text>
        <r>
          <rPr>
            <sz val="9"/>
            <color indexed="81"/>
            <rFont val="Tahoma"/>
            <family val="2"/>
          </rPr>
          <t>75%</t>
        </r>
      </text>
    </comment>
    <comment ref="L4" authorId="0" shapeId="0">
      <text>
        <r>
          <rPr>
            <sz val="9"/>
            <color indexed="81"/>
            <rFont val="Tahoma"/>
            <family val="2"/>
          </rPr>
          <t>5%</t>
        </r>
      </text>
    </comment>
    <comment ref="M4" authorId="0" shapeId="0">
      <text>
        <r>
          <rPr>
            <sz val="9"/>
            <color indexed="81"/>
            <rFont val="Tahoma"/>
            <family val="2"/>
          </rPr>
          <t>5%</t>
        </r>
      </text>
    </comment>
    <comment ref="I5" authorId="0" shapeId="0">
      <text>
        <r>
          <rPr>
            <sz val="9"/>
            <color indexed="81"/>
            <rFont val="Tahoma"/>
            <family val="2"/>
          </rPr>
          <t>10%</t>
        </r>
      </text>
    </comment>
    <comment ref="J5" authorId="0" shapeId="0">
      <text>
        <r>
          <rPr>
            <sz val="9"/>
            <color indexed="81"/>
            <rFont val="Tahoma"/>
            <family val="2"/>
          </rPr>
          <t>5%</t>
        </r>
      </text>
    </comment>
    <comment ref="K5" authorId="0" shapeId="0">
      <text>
        <r>
          <rPr>
            <sz val="9"/>
            <color indexed="81"/>
            <rFont val="Tahoma"/>
            <family val="2"/>
          </rPr>
          <t>75%</t>
        </r>
      </text>
    </comment>
    <comment ref="L5" authorId="0" shapeId="0">
      <text>
        <r>
          <rPr>
            <sz val="9"/>
            <color indexed="81"/>
            <rFont val="Tahoma"/>
            <family val="2"/>
          </rPr>
          <t>5%</t>
        </r>
      </text>
    </comment>
    <comment ref="M5" authorId="0" shapeId="0">
      <text>
        <r>
          <rPr>
            <sz val="9"/>
            <color indexed="81"/>
            <rFont val="Tahoma"/>
            <family val="2"/>
          </rPr>
          <t>5%</t>
        </r>
      </text>
    </comment>
  </commentList>
</comments>
</file>

<file path=xl/sharedStrings.xml><?xml version="1.0" encoding="utf-8"?>
<sst xmlns="http://schemas.openxmlformats.org/spreadsheetml/2006/main" count="292" uniqueCount="151">
  <si>
    <t xml:space="preserve">Nr. crt. </t>
  </si>
  <si>
    <t xml:space="preserve">Felul actului </t>
  </si>
  <si>
    <t>Onorariul</t>
  </si>
  <si>
    <t xml:space="preserve">Tehnoredactare </t>
  </si>
  <si>
    <t>Multiplicare</t>
  </si>
  <si>
    <t>Procedura notarială îndeplinită</t>
  </si>
  <si>
    <t>Arhivarea şi păstrarea actului în arhiva notarului public</t>
  </si>
  <si>
    <t>Alte servicii</t>
  </si>
  <si>
    <t>TOTAL - lei -</t>
  </si>
  <si>
    <t>Consultaţii şi informaţii pentru culegerea datelor necesare petnru a desluşi voinţa părţilor</t>
  </si>
  <si>
    <t>Procentul prevăzut pentru fiecare componentă a activităţii notariale menţionate mai sus</t>
  </si>
  <si>
    <t>a)</t>
  </si>
  <si>
    <t>b)</t>
  </si>
  <si>
    <t>c)</t>
  </si>
  <si>
    <t>d)</t>
  </si>
  <si>
    <t>e)</t>
  </si>
  <si>
    <t>f)</t>
  </si>
  <si>
    <t>până la 15.000 lei</t>
  </si>
  <si>
    <t>-</t>
  </si>
  <si>
    <t>x</t>
  </si>
  <si>
    <t>20 lei</t>
  </si>
  <si>
    <t>de la 15.001 lei la 30.000 lei</t>
  </si>
  <si>
    <t>330 lei+ 1,6%
pentru suma care depăşeşte 15.001 lei</t>
  </si>
  <si>
    <t>de la 30.001 lei la 60.000 lei</t>
  </si>
  <si>
    <t>pentru fiecare exemplar în plus</t>
  </si>
  <si>
    <t>580 lei+ 1,3% pentru suma care depăşeşte 30.001 lei</t>
  </si>
  <si>
    <t>de la 60.001 lei la 300.000 lei</t>
  </si>
  <si>
    <t>de la 300.001 lei la 600.000 lei</t>
  </si>
  <si>
    <t>peste600.001lei</t>
  </si>
  <si>
    <t>970 lei + 0,9%
pentru suma care depăşeşte 60.001 lei</t>
  </si>
  <si>
    <t>3.130 lei + 0,65% pentru suma care depăşeşte 300.001 lei</t>
  </si>
  <si>
    <t>5.080 lei + 0,44% pentru suma care depăşeşte 600.001 lei</t>
  </si>
  <si>
    <t>II. Pentru actele de schimb mobiliar sau imobiliar, onorariul se stabileşte la valoarea cea mai mare a oricăruia dintre bunurile care fac obiectul schimbului, după criteriile de la pct. 1, şi se majorează cu 25%.
- pentru fiecare exemplar în plus - 20 lei</t>
  </si>
  <si>
    <t>III. Actele de partaj de bunuri mobile şi/sau imobile prin care bunurile care fac obiectul partajului revin unuia sau unora dintre copartajanţi, cu sau fără sultă</t>
  </si>
  <si>
    <t>pentru bunurile imobile, onorariul se calculează după criteriile de la pct. I, la valoarea cotelor care revin copartajanţilor peste cota lor ideală
- pentru fiecare exemplar în plus - 20 lei</t>
  </si>
  <si>
    <t>IV. Pentru autentificarea contractelor de novaţie, de delegaţie, de compensare, de subrogaţie, de cesiune de creanţă, altele decât cele care se încadrează la anexa nr. 1 pct. 11, precum şi de remitere de datorie, onorariul se calculează prin aplicarea procentului de 0,3% la valoarea creanţelor, dar nu mai puţin de 150 lei.
- pentru fiecare exemplar în plus - 20 lei</t>
  </si>
  <si>
    <t>V. Acte de garanţie mobiliară sau imobiliară, altele decât cele prevăzute în anexa nr. 1 pct. 25</t>
  </si>
  <si>
    <t>de la 50.000 lei la 100.000 lei</t>
  </si>
  <si>
    <t>până la 50.000 lei</t>
  </si>
  <si>
    <t>de la 100.000 lei la 200.000 lei</t>
  </si>
  <si>
    <t>de la 200.000 lei la 500.000 lei</t>
  </si>
  <si>
    <t xml:space="preserve">peste 500.000 lei </t>
  </si>
  <si>
    <t>0,65%, dar nu
mai puţin de 100 lei</t>
  </si>
  <si>
    <t>325 lei + 0,5%
pentru ceea ce depăşeşte 50.000 lei</t>
  </si>
  <si>
    <t>575 lei + 0,32%
pentru ceea ce depăşeşte 100.000 lei</t>
  </si>
  <si>
    <t>895 lei+ 0,13%
pentru ceea ce depăşeşte 200.000 le</t>
  </si>
  <si>
    <t>1.285 lei + 0,07% pentru ceea ce depăşeşte 500.000 lei</t>
  </si>
  <si>
    <t>VI. Pentru actele de donaţie sau partaj care au ca obiect locurile de înhumare, onorariul se stabileşte la 1% din valoare, dar nu mai puţin de 150 lei.
- pentru fiecare exemplar în plus - 20 lei</t>
  </si>
  <si>
    <t>VII. Pentru actele de constituire a societăţilor comerciale şi de majorare a capitalului social atunci când aportul adus nu este în numerar, ci este aport în natură, constând în bunuri mobile sau imobile, onorariul se stabileşte potrivit tranşelor valorice şi procentelor prevăzute la pct. I, pentru bunurile imobile, şi la pct. XI lit. b), pentru bunurile mobile, dar nu mai puţin de 150 lei.
- pentru fiecare exemplar în plus - 20 lei</t>
  </si>
  <si>
    <t>VIII. Pentru contractele de închiriere, onorariul se stabileşte prin aplicarea procentului 0,3%, calculat la valoarea chiriei pentru întreaga perioadă de închiriere prevăzută în contract, dar nu mai puţin de 50 lei.
- pentru fiecare exemplar în plus - 20 lei</t>
  </si>
  <si>
    <t>IX. _
a) Pentru contractele de leasing operaţional, onorariul se stabileşte prin aplicarea procentului de 0,3%, calculat la valoarea contractelor de leasing, dar nu mai puţin de 100 lei.
b) Pentru contractul de leasing financiar imobiliar sau mobiliar, onorariul se stabileşte potrivit tranşelor valorice şi procentelor prevăzute la pct. I, pentru bunurile imobile, şi la pct. XI lit. b), pentru bunurile mobile, dar nu mai puţin de 100 lei.
- pentru fiecare exemplar în plus - 20 lei</t>
  </si>
  <si>
    <t>X. Pentru actele de protest ale cambiilor, cecurilor şi ale altor titluri la ordin, onorariul se stabileşte la 1% din valoarea titlurilor protestate, dar nu mai puţin de 100 lei.
- pentru fiecare exemplar în plus - 20 lei</t>
  </si>
  <si>
    <t>XI. Pentru autentificarea contractelor prin care se cesionează cu titlu gratuit sau oneros drepturi litigioase şi drepturi succesorale, onorariul se stabileşte la 0,5%, calculat la valoarea declarată de părţi, dar nu mai puţin de 200 lei. În cazul în care valoarea declarată de părţi este mai mică decât valoarea din expertiza camerelor notarilor publici, onorariul se va calcula la valoarea din expertiză.</t>
  </si>
  <si>
    <t>XII. Pentru alte acte evaluabile în bani:</t>
  </si>
  <si>
    <t>- promisiuni bilaterale sau unilaterale de vânzare-cumpărare prin care se confirmă şi primirea preţului în parte sau în integralitatea sa, onorariul se stabileşte la 1% din valoarea achitată, dar nu mai puţin de 150 lei;
- pentru fiecare exemplar în plus - 20 lei</t>
  </si>
  <si>
    <t>- alte acte evaluabile în bani, cu excepţia declaraţiilor pentru primirea restului de preţ, a sultei sau a oricărei sume de bani care a fost stabilită de părţi printr-un alt înscris autentificat de notarul public, onorariul se stabileşte la 0,25% din valoare, dar nu mai puţin de 50 lei.
- pentru fiecare exemplar în plus - 20 lei</t>
  </si>
  <si>
    <t>2,2%, dar nu mai
puţin de 150 lei</t>
  </si>
  <si>
    <t>I. Pentru acte translative ale dreptului de proprietate şi de constituire a altor drepturi reale care au ca obiect bunuri imobile</t>
  </si>
  <si>
    <t>Prag inferior</t>
  </si>
  <si>
    <t>Suma fixa</t>
  </si>
  <si>
    <t>I. Acte translative ale dreptului de proprietate şi de constituire a altor drepturi reale care au ca obiect bunuri imobile</t>
  </si>
  <si>
    <t>Tipul documentului</t>
  </si>
  <si>
    <t>Suma tranzactiei</t>
  </si>
  <si>
    <t>Comision</t>
  </si>
  <si>
    <t>pr2</t>
  </si>
  <si>
    <t xml:space="preserve"> Prag</t>
  </si>
  <si>
    <t>Procent</t>
  </si>
  <si>
    <t>II. Acte de schimb mobiliar sau imobiliar</t>
  </si>
  <si>
    <t>VI. Acte de donaţie sau partaj care au ca obiect locurile de înhumare</t>
  </si>
  <si>
    <t>VII. Acte de constituire a societăţilor comerciale şi de majorare a capitalului social atunci când aportul adus nu este în numerar, ci este aport în natură, constând în bunuri mobile sau imobile</t>
  </si>
  <si>
    <t>X. Acte de protest ale cambiilor, cecurilor şi ale altor titluri la ordin</t>
  </si>
  <si>
    <t>IV. Contracte de novaţie, de delegaţie, de compensare, de subrogaţie, de cesiune de creanţă, altele decât cele care se încadrează la anexa nr. 1 pct. 11, precum şi de remitere de datorie</t>
  </si>
  <si>
    <t>VIII. Contracte de închiriere</t>
  </si>
  <si>
    <t>IX. a)  Contracte de leasing operaţional</t>
  </si>
  <si>
    <t>IX. b) Contracte de leasing financiar imobiliar sau mobiliar</t>
  </si>
  <si>
    <t>XI. Contracte prin care se cesionează cu titlu gratuit sau oneros drepturi litigioase şi drepturi succesorale</t>
  </si>
  <si>
    <t>XII. a) Alte acte evaluabile în bani: promisiuni bilaterale sau unilaterale de vânzare-cumpărare prin care se confirmă şi primirea preţului în parte sau în integralitatea sa</t>
  </si>
  <si>
    <t>XII. b)  Alte acte evaluabile în bani cu excepţia declaraţiilor pentru primirea restului de preţ, a sultei sau a oricărei sume de bani care a fost stabilită de părţi printr-un alt înscris autentificat de notarul public</t>
  </si>
  <si>
    <r>
      <t xml:space="preserve">pentru bunurile mobile, onorariul se calculează prin aplicarea procentului de 0,25% la valoarea bunurilor care revin copartajanţilor peste </t>
    </r>
    <r>
      <rPr>
        <sz val="11"/>
        <color rgb="FFFF0000"/>
        <rFont val="Calibri"/>
        <family val="2"/>
        <scheme val="minor"/>
      </rPr>
      <t>cota lor ideală</t>
    </r>
    <r>
      <rPr>
        <sz val="11"/>
        <color theme="1"/>
        <rFont val="Calibri"/>
        <family val="2"/>
        <scheme val="minor"/>
      </rPr>
      <t xml:space="preserve">
- pentru fiecare exemplar în plus - 20 lei</t>
    </r>
  </si>
  <si>
    <t>se doreste includerea altor detalii?</t>
  </si>
  <si>
    <t>este nevoie si de convertor valutrar la cursul BNR?   https://www.bnr.ro/nbrfxrates.xml</t>
  </si>
  <si>
    <t>da - taxa cadastru</t>
  </si>
  <si>
    <t>ne intereseaza I. V si succesiuni</t>
  </si>
  <si>
    <t>anexa 3 - procedura succesorala</t>
  </si>
  <si>
    <t>Taxe cadastru</t>
  </si>
  <si>
    <t>pf</t>
  </si>
  <si>
    <t>pj</t>
  </si>
  <si>
    <t>Succesiune</t>
  </si>
  <si>
    <t>Ipoteca</t>
  </si>
  <si>
    <t>0,1% + 100 ron</t>
  </si>
  <si>
    <t>Aplica la vanzare</t>
  </si>
  <si>
    <t>Tip document</t>
  </si>
  <si>
    <t>Suma tranzactie</t>
  </si>
  <si>
    <t>TOTAL</t>
  </si>
  <si>
    <t>III. a) Actele de partaj de bunuri imobile</t>
  </si>
  <si>
    <t>III. b) Actele de partaj de bunuri mobile</t>
  </si>
  <si>
    <t>Limita de precizie calculator:</t>
  </si>
  <si>
    <t>Componente comision</t>
  </si>
  <si>
    <t>#</t>
  </si>
  <si>
    <t>Taxe cadastrale</t>
  </si>
  <si>
    <t>Duplicare documente (RON)</t>
  </si>
  <si>
    <t>Numar exemplare duplicate document</t>
  </si>
  <si>
    <t>Client PF/PJ</t>
  </si>
  <si>
    <t>Primul rand</t>
  </si>
  <si>
    <t>PF</t>
  </si>
  <si>
    <t>Anexa 3 - Procedura succesorala</t>
  </si>
  <si>
    <t>Tranşele valorice în lei, la care se calculează onorariul</t>
  </si>
  <si>
    <t>Procedura notarială, cu excepţia inventarierii, aplicării de sigilii, predării în custodie</t>
  </si>
  <si>
    <t>Tehnoredactare, încheieri, certificate de moştenitor, declaraţii de martor, citaţii şi alte acte necesare îndeplinirii procedurii</t>
  </si>
  <si>
    <t>Arhivarea şi păstrarea dosarului succesoral în arhiva notarului public</t>
  </si>
  <si>
    <t>a) până la 6.000 lei</t>
  </si>
  <si>
    <t>b) de la 6.001 lei la 30.000 lei</t>
  </si>
  <si>
    <t>c) de la 30.001 lei la 60.000 lei</t>
  </si>
  <si>
    <t>d) peste 60.001 lei</t>
  </si>
  <si>
    <t>2,7%, dar nu mai puţin de 150 lei/certificat de moştenitor</t>
  </si>
  <si>
    <t>162 lei+ 1,35% pentru ceea ce depăşeşte 6.001 lei</t>
  </si>
  <si>
    <t>486 lei + 0,6% pentru ceea ce depăşeşte 30.001 lei</t>
  </si>
  <si>
    <t>665 lei + 0,45% pentru ceea ce depăşeşte 60.001 lei</t>
  </si>
  <si>
    <t>Procedura succesorala</t>
  </si>
  <si>
    <t>Ultimul rand</t>
  </si>
  <si>
    <t>Taxe cabinet notarial</t>
  </si>
  <si>
    <t>Ghid de utilizare calculator comisioane</t>
  </si>
  <si>
    <t xml:space="preserve">1) La deschiderea aplicatiei (fisierului .XLSM) va fi afisata o mica fereastra sau un mesaj sub bara de formula care va cere aprobarea pentru activarea macro-urilor. </t>
  </si>
  <si>
    <t>Pentru ca aplicatia sa functioneze corect, va trebui ca macro-urile sa fie activate pentru acest fisier. Activarea se face o singura data, la prima accesare.</t>
  </si>
  <si>
    <t>2) Pentru a evita confuzia, inainte de a incepe calculul unui nou set de comisioane, se recomanda a reseta formularul (butonul "Resetare formular" in dreapta sus).</t>
  </si>
  <si>
    <t>Aceasta procedura cere confirmarea utilizatorului si, de indata ce o primeste, va sterge tot ceea ce se gaseste in formular.</t>
  </si>
  <si>
    <t xml:space="preserve">3) In forma actuala, aplicatia calculeaza comisioanele pentru maxim 5 documente (randurile 1-5). </t>
  </si>
  <si>
    <t>4) Pentru a incepe, se foloseste lista derulanta care se gaseste in fiecare celula a coloanei B, pentru a alege tipul documentului pentru care se doreste calcularea comisionului.</t>
  </si>
  <si>
    <t>Optiunile sunt:</t>
  </si>
  <si>
    <t>II. Acte de garanţie mobiliară sau imobiliară, altele decât cele prevăzute în anexa nr. 1 pct. 25</t>
  </si>
  <si>
    <t>III. Procedura succesorala</t>
  </si>
  <si>
    <t>5) In coloana suma tranzactie se completeaza suma documentului. Programul accepta numere cu pana la doua zecimale.</t>
  </si>
  <si>
    <t>6) Pentru documentele de tip "I. Acte translative…" in coloana D se selecteaza tipul clientului (PF sau PJ) care serveste pentru calculul taxelor cadastrale.</t>
  </si>
  <si>
    <t xml:space="preserve"> Se poate selecta si pentru celelalte tipuri de documente insa nu va avea nici un efect asupra calculului taxelor cadastrale deoarece acestea folosesc alte criterii.</t>
  </si>
  <si>
    <t xml:space="preserve">7) In coloana E se va introduce numarul de exemplare duplicate pentru documentele emise. Se poate selecta un numar natural intre 1 si 20. </t>
  </si>
  <si>
    <t>Acest camp serveste pentru calculul costului multiplicarii pentru documentele de tim I. si II. Pentru procedura succesorala acest cost este un procent din comision</t>
  </si>
  <si>
    <t xml:space="preserve">si este inclus in costul total al taxelor notariale. </t>
  </si>
  <si>
    <t>8) Dupa ce toate campurile relevante au fost completate, se actioneaza butonul "Calculeaza comisioane" si coloanele de la F la N vor fi populate cu informatiile aferente.</t>
  </si>
  <si>
    <t>Avand in vedere ca tipurile de componente ale comisionului pentru cabinetul notarial si procentul care se aplica pentru fiecare variaza, in capul tabelului sunt afisate categoriile</t>
  </si>
  <si>
    <t>iar in interiorul fiecarei celule va fi adaugat un comment in care se trece procentul utilizat pentru calcularea componentei respective</t>
  </si>
  <si>
    <t xml:space="preserve">Se vor completa, de asemenea, si totalurile per categorie, pe randul 10. </t>
  </si>
  <si>
    <t>Alte considente</t>
  </si>
  <si>
    <t>1) Spatiile colorate in gri nu sunt modificabile. Acestea contin campuri care vor fi calculate si afisate de catre program, fara a necesita interventia utilizatorului.</t>
  </si>
  <si>
    <t>2) In cazul in care, pentru o tranzactie nu s-au completat toate campurile (de exemplu am completat tot insa am uitat, la un contract de tip I. sa specificam tipul clientului) si s-a actionat butonul "Calculeaza comisioane",</t>
  </si>
  <si>
    <t xml:space="preserve">se poate completa ulterior si se poate porni din nou procedura de calcul. Informatiile calculate anterior nu se vor pierde, va fi actualizat doar campul de lipseste. </t>
  </si>
  <si>
    <t>Sursa informatii:</t>
  </si>
  <si>
    <t>http://www.uniuneanotarilor.ro/files/omj46c.pdf</t>
  </si>
  <si>
    <t>ANEXA Nr. 2: ACTE ŞI PROCEDURI NOTARIALE pentru care
onorariile sunt graduale pe tranşe şi în cote procentuale</t>
  </si>
  <si>
    <t>Total de plata (fara TVA)</t>
  </si>
  <si>
    <t>TVA</t>
  </si>
  <si>
    <t>TOTAL FINAL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</si>
</sst>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000"/>
    <numFmt numFmtId="165" formatCode="0.000"/>
  </numFmts>
  <fonts count="26" x14ac:knownFonts="1">
    <font>
      <sz val="12"/>
      <color theme="1"/>
      <name val="Calibri"/>
      <family val="2"/>
      <charset val="23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color theme="1"/>
      <name val="Verdana"/>
      <family val="2"/>
    </font>
    <font>
      <sz val="11"/>
      <color theme="1"/>
      <name val="Calibri"/>
      <family val="2"/>
      <scheme val="minor"/>
    </font>
    <font>
      <b/>
      <sz val="11"/>
      <color theme="0"/>
      <name val="Calibri"/>
      <family val="2"/>
      <scheme val="minor"/>
    </font>
    <font>
      <sz val="12"/>
      <color theme="1"/>
      <name val="Calibri"/>
      <family val="2"/>
      <charset val="238"/>
      <scheme val="minor"/>
    </font>
    <font>
      <sz val="12"/>
      <color rgb="FF000000"/>
      <name val="Calibri"/>
      <family val="2"/>
    </font>
    <font>
      <sz val="11"/>
      <color rgb="FFFF0000"/>
      <name val="Calibri"/>
      <family val="2"/>
      <scheme val="minor"/>
    </font>
    <font>
      <b/>
      <sz val="12"/>
      <color theme="1"/>
      <name val="Calibri"/>
      <family val="2"/>
      <scheme val="minor"/>
    </font>
    <font>
      <b/>
      <sz val="10"/>
      <color theme="1"/>
      <name val="Calibri"/>
      <family val="2"/>
      <scheme val="minor"/>
    </font>
    <font>
      <sz val="12"/>
      <color theme="0"/>
      <name val="Calibri"/>
      <family val="2"/>
      <charset val="238"/>
      <scheme val="minor"/>
    </font>
    <font>
      <b/>
      <sz val="10"/>
      <color theme="0"/>
      <name val="Calibri"/>
      <family val="2"/>
      <charset val="238"/>
      <scheme val="minor"/>
    </font>
    <font>
      <sz val="10"/>
      <color theme="0"/>
      <name val="Calibri"/>
      <family val="2"/>
      <charset val="238"/>
      <scheme val="minor"/>
    </font>
    <font>
      <sz val="10"/>
      <name val="Calibri"/>
      <family val="2"/>
      <charset val="238"/>
      <scheme val="minor"/>
    </font>
    <font>
      <sz val="12"/>
      <name val="Calibri"/>
      <family val="2"/>
      <charset val="238"/>
      <scheme val="minor"/>
    </font>
    <font>
      <b/>
      <sz val="12"/>
      <name val="Calibri"/>
      <family val="2"/>
      <scheme val="minor"/>
    </font>
    <font>
      <b/>
      <sz val="12"/>
      <color theme="0"/>
      <name val="Calibri"/>
      <family val="2"/>
      <scheme val="minor"/>
    </font>
    <font>
      <sz val="12"/>
      <color theme="1"/>
      <name val="Calibri"/>
      <family val="2"/>
      <scheme val="minor"/>
    </font>
    <font>
      <sz val="9"/>
      <color indexed="81"/>
      <name val="Tahoma"/>
      <family val="2"/>
    </font>
    <font>
      <b/>
      <sz val="16"/>
      <color theme="1"/>
      <name val="Calibri"/>
      <family val="2"/>
      <scheme val="minor"/>
    </font>
    <font>
      <b/>
      <sz val="14"/>
      <color theme="1"/>
      <name val="Calibri"/>
      <family val="2"/>
      <scheme val="minor"/>
    </font>
    <font>
      <u/>
      <sz val="12"/>
      <color theme="10"/>
      <name val="Calibri"/>
      <family val="2"/>
      <charset val="238"/>
      <scheme val="minor"/>
    </font>
  </fonts>
  <fills count="9">
    <fill>
      <patternFill patternType="none"/>
    </fill>
    <fill>
      <patternFill patternType="gray125"/>
    </fill>
    <fill>
      <patternFill patternType="solid">
        <fgColor theme="0" tint="-0.499984740745262"/>
        <bgColor indexed="64"/>
      </patternFill>
    </fill>
    <fill>
      <patternFill patternType="solid">
        <fgColor theme="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92D050"/>
        <bgColor indexed="64"/>
      </patternFill>
    </fill>
    <fill>
      <patternFill patternType="solid">
        <fgColor theme="9"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43" fontId="9" fillId="0" borderId="0" applyFont="0" applyFill="0" applyBorder="0" applyAlignment="0" applyProtection="0"/>
    <xf numFmtId="0" fontId="25" fillId="0" borderId="0" applyNumberFormat="0" applyFill="0" applyBorder="0" applyAlignment="0" applyProtection="0"/>
  </cellStyleXfs>
  <cellXfs count="135">
    <xf numFmtId="0" fontId="0" fillId="0" borderId="0" xfId="0"/>
    <xf numFmtId="9" fontId="7" fillId="0" borderId="1" xfId="0" applyNumberFormat="1" applyFont="1" applyBorder="1" applyAlignment="1">
      <alignment horizontal="center" vertical="center"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9" fontId="8" fillId="2" borderId="1" xfId="0" applyNumberFormat="1" applyFont="1" applyFill="1" applyBorder="1" applyAlignment="1">
      <alignment horizontal="center" vertical="center"/>
    </xf>
    <xf numFmtId="0" fontId="8" fillId="2" borderId="6" xfId="0" applyFont="1" applyFill="1" applyBorder="1" applyAlignment="1">
      <alignment horizontal="center" vertical="center" wrapText="1"/>
    </xf>
    <xf numFmtId="0" fontId="8" fillId="2" borderId="5" xfId="0" applyFont="1" applyFill="1" applyBorder="1" applyAlignment="1">
      <alignment horizontal="center" vertical="center"/>
    </xf>
    <xf numFmtId="9" fontId="8" fillId="2" borderId="6" xfId="0" applyNumberFormat="1" applyFont="1" applyFill="1" applyBorder="1" applyAlignment="1">
      <alignment horizontal="center" vertical="center"/>
    </xf>
    <xf numFmtId="0" fontId="8" fillId="2" borderId="5" xfId="0" quotePrefix="1" applyFont="1" applyFill="1" applyBorder="1" applyAlignment="1">
      <alignment horizontal="center" vertical="center"/>
    </xf>
    <xf numFmtId="0" fontId="7" fillId="0" borderId="5" xfId="0" applyFont="1" applyBorder="1" applyAlignment="1">
      <alignment horizontal="center" vertical="center"/>
    </xf>
    <xf numFmtId="0" fontId="7" fillId="0" borderId="7" xfId="0" applyFont="1" applyBorder="1" applyAlignment="1">
      <alignment horizontal="center" vertical="center"/>
    </xf>
    <xf numFmtId="0" fontId="0" fillId="0" borderId="0" xfId="0" applyBorder="1"/>
    <xf numFmtId="0" fontId="0" fillId="0" borderId="0" xfId="0" applyBorder="1" applyAlignment="1">
      <alignment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0" borderId="0" xfId="0" applyAlignment="1">
      <alignment horizontal="center" vertical="center"/>
    </xf>
    <xf numFmtId="43" fontId="0" fillId="0" borderId="0" xfId="1" applyFont="1" applyAlignment="1">
      <alignment horizontal="center" vertical="center"/>
    </xf>
    <xf numFmtId="16" fontId="0" fillId="0" borderId="0" xfId="0" quotePrefix="1" applyNumberFormat="1"/>
    <xf numFmtId="10" fontId="0" fillId="0" borderId="0" xfId="0" applyNumberFormat="1"/>
    <xf numFmtId="0" fontId="0" fillId="0" borderId="1" xfId="0" applyBorder="1" applyAlignment="1">
      <alignment horizontal="center" vertical="center"/>
    </xf>
    <xf numFmtId="0" fontId="0" fillId="4" borderId="0" xfId="0" applyFill="1" applyAlignment="1">
      <alignment horizontal="center"/>
    </xf>
    <xf numFmtId="0" fontId="0" fillId="4" borderId="0" xfId="0" applyFill="1"/>
    <xf numFmtId="0" fontId="0" fillId="4" borderId="0" xfId="0" applyFill="1" applyAlignment="1">
      <alignment vertical="center"/>
    </xf>
    <xf numFmtId="0" fontId="13" fillId="4" borderId="0" xfId="0" applyFont="1" applyFill="1" applyAlignment="1">
      <alignment horizontal="center"/>
    </xf>
    <xf numFmtId="0" fontId="13" fillId="4" borderId="0" xfId="0" applyFont="1" applyFill="1" applyAlignment="1">
      <alignment horizont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Fill="1" applyBorder="1" applyAlignment="1">
      <alignment vertical="center" wrapText="1"/>
    </xf>
    <xf numFmtId="164" fontId="0" fillId="0" borderId="0" xfId="0" applyNumberFormat="1"/>
    <xf numFmtId="0" fontId="0" fillId="6" borderId="1" xfId="0" applyFill="1" applyBorder="1" applyAlignment="1">
      <alignment horizontal="left" vertical="center" wrapText="1"/>
    </xf>
    <xf numFmtId="0" fontId="0" fillId="6" borderId="1" xfId="0" applyFill="1" applyBorder="1" applyAlignment="1">
      <alignment vertical="center"/>
    </xf>
    <xf numFmtId="0" fontId="0" fillId="6" borderId="1" xfId="0" applyFill="1" applyBorder="1" applyAlignment="1">
      <alignment vertical="center" wrapText="1"/>
    </xf>
    <xf numFmtId="0" fontId="0" fillId="0" borderId="0" xfId="0" applyFill="1" applyBorder="1"/>
    <xf numFmtId="0" fontId="0" fillId="7" borderId="1" xfId="0" applyFill="1" applyBorder="1" applyAlignment="1">
      <alignment vertical="center" wrapText="1"/>
    </xf>
    <xf numFmtId="0" fontId="0" fillId="7" borderId="1" xfId="0" quotePrefix="1" applyFill="1" applyBorder="1" applyAlignment="1">
      <alignment vertical="center" wrapText="1"/>
    </xf>
    <xf numFmtId="0" fontId="0" fillId="7" borderId="1" xfId="0" applyFill="1" applyBorder="1" applyAlignment="1">
      <alignment horizontal="center" vertical="center"/>
    </xf>
    <xf numFmtId="0" fontId="0" fillId="7" borderId="1" xfId="0" applyFill="1" applyBorder="1"/>
    <xf numFmtId="0" fontId="7" fillId="8" borderId="1" xfId="0" applyFont="1" applyFill="1" applyBorder="1" applyAlignment="1">
      <alignment vertical="center" wrapText="1"/>
    </xf>
    <xf numFmtId="9" fontId="7" fillId="8" borderId="1" xfId="0" applyNumberFormat="1" applyFont="1" applyFill="1" applyBorder="1" applyAlignment="1">
      <alignment horizontal="center" vertical="center" wrapText="1"/>
    </xf>
    <xf numFmtId="0" fontId="7" fillId="8" borderId="6" xfId="0"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8" borderId="1" xfId="0" applyFont="1" applyFill="1" applyBorder="1" applyAlignment="1">
      <alignment horizontal="left" vertical="center" wrapText="1"/>
    </xf>
    <xf numFmtId="0" fontId="6" fillId="8" borderId="1" xfId="0" applyFont="1" applyFill="1" applyBorder="1" applyAlignment="1">
      <alignment horizontal="left" vertical="center" wrapText="1"/>
    </xf>
    <xf numFmtId="0" fontId="6" fillId="8" borderId="1" xfId="0" applyFont="1" applyFill="1" applyBorder="1" applyAlignment="1">
      <alignment horizontal="left" vertical="center"/>
    </xf>
    <xf numFmtId="2" fontId="0" fillId="4" borderId="0" xfId="0" applyNumberFormat="1" applyFill="1" applyAlignment="1">
      <alignment horizontal="center"/>
    </xf>
    <xf numFmtId="1" fontId="0" fillId="0" borderId="0" xfId="0" applyNumberFormat="1" applyBorder="1"/>
    <xf numFmtId="4" fontId="0" fillId="4" borderId="0" xfId="0" applyNumberFormat="1" applyFill="1"/>
    <xf numFmtId="10" fontId="8" fillId="2" borderId="1" xfId="0" applyNumberFormat="1" applyFont="1" applyFill="1" applyBorder="1" applyAlignment="1">
      <alignment horizontal="center" vertical="center" wrapText="1"/>
    </xf>
    <xf numFmtId="9" fontId="8" fillId="2" borderId="1" xfId="0" applyNumberFormat="1" applyFont="1" applyFill="1" applyBorder="1" applyAlignment="1">
      <alignment horizontal="center" vertical="center" wrapText="1"/>
    </xf>
    <xf numFmtId="9" fontId="7" fillId="0" borderId="1" xfId="0" applyNumberFormat="1" applyFont="1" applyBorder="1" applyAlignment="1">
      <alignment horizontal="center" vertical="center"/>
    </xf>
    <xf numFmtId="10" fontId="7" fillId="0" borderId="1" xfId="0" applyNumberFormat="1"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center" vertical="center" wrapText="1"/>
    </xf>
    <xf numFmtId="0" fontId="0" fillId="5" borderId="1" xfId="0" applyFill="1" applyBorder="1" applyAlignment="1" applyProtection="1">
      <alignment horizontal="center" vertical="center"/>
    </xf>
    <xf numFmtId="4" fontId="0" fillId="5" borderId="1" xfId="0" applyNumberFormat="1" applyFill="1" applyBorder="1" applyAlignment="1" applyProtection="1">
      <alignment horizontal="center" vertical="center"/>
    </xf>
    <xf numFmtId="0" fontId="0" fillId="4" borderId="0" xfId="0" applyFill="1" applyAlignment="1" applyProtection="1">
      <alignment vertical="center"/>
    </xf>
    <xf numFmtId="0" fontId="0" fillId="4" borderId="0" xfId="0" applyFill="1" applyProtection="1"/>
    <xf numFmtId="0" fontId="0" fillId="4" borderId="0" xfId="0" applyFill="1" applyAlignment="1" applyProtection="1">
      <alignment horizontal="center"/>
    </xf>
    <xf numFmtId="4" fontId="0" fillId="4" borderId="0" xfId="0" applyNumberFormat="1" applyFill="1" applyAlignment="1" applyProtection="1">
      <alignment horizontal="center"/>
    </xf>
    <xf numFmtId="0" fontId="12" fillId="5" borderId="1" xfId="0" applyFont="1" applyFill="1" applyBorder="1" applyAlignment="1" applyProtection="1">
      <alignment horizontal="center" vertical="center"/>
    </xf>
    <xf numFmtId="4" fontId="12" fillId="5" borderId="1" xfId="0" applyNumberFormat="1" applyFont="1" applyFill="1" applyBorder="1" applyAlignment="1" applyProtection="1">
      <alignment horizontal="center" vertical="center"/>
    </xf>
    <xf numFmtId="4" fontId="12" fillId="3" borderId="1" xfId="0" applyNumberFormat="1" applyFont="1" applyFill="1" applyBorder="1" applyAlignment="1" applyProtection="1">
      <alignment horizontal="center" vertical="center"/>
    </xf>
    <xf numFmtId="0" fontId="17" fillId="4" borderId="1" xfId="0" applyFont="1" applyFill="1" applyBorder="1" applyAlignment="1" applyProtection="1">
      <alignment horizontal="left" vertical="center" wrapText="1"/>
      <protection locked="0"/>
    </xf>
    <xf numFmtId="4" fontId="18" fillId="4" borderId="1" xfId="0" applyNumberFormat="1" applyFont="1" applyFill="1" applyBorder="1" applyAlignment="1" applyProtection="1">
      <alignment horizontal="center" vertical="center"/>
      <protection locked="0"/>
    </xf>
    <xf numFmtId="0" fontId="18" fillId="4" borderId="1" xfId="0" applyFont="1" applyFill="1" applyBorder="1" applyAlignment="1" applyProtection="1">
      <alignment horizontal="center" vertical="center"/>
      <protection locked="0"/>
    </xf>
    <xf numFmtId="2" fontId="0" fillId="5" borderId="1" xfId="0" applyNumberFormat="1" applyFill="1" applyBorder="1" applyAlignment="1" applyProtection="1">
      <alignment horizontal="center" vertical="center"/>
    </xf>
    <xf numFmtId="0" fontId="0" fillId="4" borderId="18" xfId="0" applyFill="1" applyBorder="1"/>
    <xf numFmtId="0" fontId="0" fillId="4" borderId="19" xfId="0" applyFill="1" applyBorder="1"/>
    <xf numFmtId="0" fontId="0" fillId="4" borderId="20" xfId="0" applyFill="1" applyBorder="1" applyAlignment="1">
      <alignment vertical="center"/>
    </xf>
    <xf numFmtId="4" fontId="19" fillId="5" borderId="1" xfId="0" applyNumberFormat="1" applyFont="1" applyFill="1" applyBorder="1" applyAlignment="1" applyProtection="1">
      <alignment horizontal="center" vertical="center"/>
    </xf>
    <xf numFmtId="43" fontId="0" fillId="7" borderId="1" xfId="1" applyFont="1" applyFill="1" applyBorder="1" applyAlignment="1">
      <alignment vertical="center"/>
    </xf>
    <xf numFmtId="0" fontId="0" fillId="7" borderId="1" xfId="0" applyFill="1" applyBorder="1" applyAlignment="1">
      <alignment vertical="center"/>
    </xf>
    <xf numFmtId="1" fontId="0" fillId="7" borderId="1" xfId="0" applyNumberFormat="1" applyFill="1" applyBorder="1" applyAlignment="1">
      <alignment vertical="center"/>
    </xf>
    <xf numFmtId="165" fontId="0" fillId="7" borderId="1" xfId="0" applyNumberFormat="1" applyFill="1" applyBorder="1" applyAlignment="1">
      <alignment vertical="center"/>
    </xf>
    <xf numFmtId="1" fontId="0" fillId="7" borderId="1" xfId="0" applyNumberFormat="1" applyFill="1" applyBorder="1"/>
    <xf numFmtId="10" fontId="0" fillId="7" borderId="1" xfId="0" applyNumberFormat="1" applyFill="1" applyBorder="1" applyAlignment="1">
      <alignment vertical="center"/>
    </xf>
    <xf numFmtId="10" fontId="0" fillId="7" borderId="1" xfId="0" applyNumberFormat="1" applyFill="1" applyBorder="1"/>
    <xf numFmtId="164" fontId="0" fillId="7" borderId="1" xfId="0" applyNumberFormat="1" applyFill="1" applyBorder="1"/>
    <xf numFmtId="0" fontId="20" fillId="2" borderId="1" xfId="0" applyFont="1" applyFill="1" applyBorder="1" applyAlignment="1">
      <alignment horizontal="center" vertical="center" wrapText="1"/>
    </xf>
    <xf numFmtId="0" fontId="20" fillId="2" borderId="1" xfId="0" applyFont="1" applyFill="1" applyBorder="1" applyAlignment="1">
      <alignment horizontal="center" vertical="center"/>
    </xf>
    <xf numFmtId="4" fontId="21" fillId="5" borderId="1" xfId="0" applyNumberFormat="1" applyFont="1" applyFill="1" applyBorder="1" applyAlignment="1" applyProtection="1">
      <alignment horizontal="center" vertical="center"/>
    </xf>
    <xf numFmtId="0" fontId="21" fillId="4" borderId="0" xfId="0" applyFont="1" applyFill="1" applyProtection="1"/>
    <xf numFmtId="0" fontId="21" fillId="4" borderId="0" xfId="0" applyFont="1" applyFill="1"/>
    <xf numFmtId="0" fontId="23" fillId="4" borderId="0" xfId="0" applyFont="1" applyFill="1" applyProtection="1"/>
    <xf numFmtId="0" fontId="24" fillId="4" borderId="0" xfId="0" applyFont="1" applyFill="1" applyProtection="1"/>
    <xf numFmtId="0" fontId="2" fillId="4" borderId="0" xfId="0" applyFont="1" applyFill="1" applyAlignment="1">
      <alignment horizontal="center" vertical="center"/>
    </xf>
    <xf numFmtId="0" fontId="25" fillId="4" borderId="0" xfId="2" applyFill="1"/>
    <xf numFmtId="0" fontId="7" fillId="4" borderId="0" xfId="0" applyFont="1" applyFill="1" applyAlignment="1">
      <alignment horizontal="center" vertical="center"/>
    </xf>
    <xf numFmtId="0" fontId="7" fillId="4" borderId="0" xfId="0" applyFont="1" applyFill="1" applyAlignment="1">
      <alignment horizontal="center" vertical="center" wrapText="1"/>
    </xf>
    <xf numFmtId="0" fontId="2" fillId="4" borderId="0" xfId="0" applyFont="1" applyFill="1" applyAlignment="1">
      <alignment horizontal="left" vertical="center"/>
    </xf>
    <xf numFmtId="0" fontId="3" fillId="4" borderId="0" xfId="0" applyFont="1" applyFill="1" applyAlignment="1">
      <alignment horizontal="left" vertical="center"/>
    </xf>
    <xf numFmtId="0" fontId="0" fillId="7" borderId="16" xfId="0" applyFill="1" applyBorder="1" applyAlignment="1">
      <alignment horizontal="left" vertical="center" wrapText="1"/>
    </xf>
    <xf numFmtId="0" fontId="0" fillId="7" borderId="0" xfId="0" applyFill="1" applyBorder="1" applyAlignment="1">
      <alignment horizontal="left" vertical="center" wrapText="1"/>
    </xf>
    <xf numFmtId="0" fontId="0" fillId="7" borderId="17" xfId="0" applyFill="1" applyBorder="1" applyAlignment="1">
      <alignment horizontal="left" vertical="center" wrapText="1"/>
    </xf>
    <xf numFmtId="0" fontId="0" fillId="7" borderId="1" xfId="0" quotePrefix="1" applyFill="1" applyBorder="1" applyAlignment="1">
      <alignment horizontal="center" vertical="center" wrapText="1"/>
    </xf>
    <xf numFmtId="0" fontId="0" fillId="7" borderId="10" xfId="0" applyFill="1" applyBorder="1" applyAlignment="1">
      <alignment horizontal="left" vertical="center" wrapText="1"/>
    </xf>
    <xf numFmtId="0" fontId="0" fillId="7" borderId="11" xfId="0" applyFill="1" applyBorder="1" applyAlignment="1">
      <alignment horizontal="left" vertical="center" wrapText="1"/>
    </xf>
    <xf numFmtId="0" fontId="0" fillId="7" borderId="12" xfId="0" applyFill="1" applyBorder="1" applyAlignment="1">
      <alignment horizontal="left" vertical="center" wrapText="1"/>
    </xf>
    <xf numFmtId="0" fontId="14" fillId="2" borderId="1" xfId="0" applyFont="1" applyFill="1" applyBorder="1" applyAlignment="1" applyProtection="1">
      <alignment horizontal="center" vertical="center"/>
    </xf>
    <xf numFmtId="0" fontId="15" fillId="2" borderId="13" xfId="0" applyFont="1" applyFill="1" applyBorder="1" applyAlignment="1" applyProtection="1">
      <alignment horizontal="center" vertical="center"/>
    </xf>
    <xf numFmtId="0" fontId="15" fillId="2" borderId="14" xfId="0" applyFont="1" applyFill="1" applyBorder="1" applyAlignment="1" applyProtection="1">
      <alignment horizontal="center" vertical="center"/>
    </xf>
    <xf numFmtId="0" fontId="15" fillId="2" borderId="15" xfId="0" applyFont="1" applyFill="1" applyBorder="1" applyAlignment="1" applyProtection="1">
      <alignment horizontal="center" vertical="center"/>
    </xf>
    <xf numFmtId="0" fontId="15" fillId="2" borderId="1" xfId="0" applyFont="1" applyFill="1" applyBorder="1" applyAlignment="1" applyProtection="1">
      <alignment horizontal="center" vertical="center" wrapText="1"/>
    </xf>
    <xf numFmtId="0" fontId="15" fillId="2" borderId="10"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wrapText="1"/>
    </xf>
    <xf numFmtId="0" fontId="15" fillId="2" borderId="1" xfId="0" applyFont="1" applyFill="1" applyBorder="1" applyAlignment="1" applyProtection="1">
      <alignment horizontal="center" vertical="center"/>
    </xf>
    <xf numFmtId="0" fontId="16" fillId="2" borderId="10" xfId="0" applyFont="1" applyFill="1" applyBorder="1" applyAlignment="1" applyProtection="1">
      <alignment horizontal="center" vertical="center" wrapText="1"/>
    </xf>
    <xf numFmtId="0" fontId="16" fillId="2" borderId="12" xfId="0" applyFont="1" applyFill="1" applyBorder="1" applyAlignment="1" applyProtection="1">
      <alignment horizontal="center" vertical="center" wrapText="1"/>
    </xf>
    <xf numFmtId="0" fontId="7" fillId="8" borderId="5"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1" xfId="0" applyFont="1" applyFill="1" applyBorder="1" applyAlignment="1">
      <alignment horizontal="center" vertical="center"/>
    </xf>
    <xf numFmtId="0" fontId="5" fillId="8" borderId="5" xfId="0" applyFont="1" applyFill="1" applyBorder="1" applyAlignment="1">
      <alignment horizontal="left" vertical="center"/>
    </xf>
    <xf numFmtId="0" fontId="7" fillId="8" borderId="1" xfId="0" applyFont="1" applyFill="1" applyBorder="1" applyAlignment="1">
      <alignment horizontal="left" vertical="center"/>
    </xf>
    <xf numFmtId="0" fontId="7" fillId="8" borderId="6" xfId="0" applyFont="1" applyFill="1" applyBorder="1" applyAlignment="1">
      <alignment horizontal="left" vertical="center"/>
    </xf>
    <xf numFmtId="0" fontId="7" fillId="8" borderId="5" xfId="0" applyFont="1" applyFill="1" applyBorder="1" applyAlignment="1">
      <alignment horizontal="center" vertical="center" wrapText="1"/>
    </xf>
    <xf numFmtId="0" fontId="4" fillId="0" borderId="5" xfId="0" applyFont="1" applyBorder="1" applyAlignment="1">
      <alignment horizontal="left" vertical="center" wrapText="1"/>
    </xf>
    <xf numFmtId="0" fontId="7" fillId="0" borderId="1" xfId="0" applyFont="1" applyBorder="1" applyAlignment="1">
      <alignment horizontal="left" vertical="center"/>
    </xf>
    <xf numFmtId="0" fontId="7" fillId="0" borderId="6" xfId="0" applyFont="1" applyBorder="1" applyAlignment="1">
      <alignment horizontal="left" vertical="center"/>
    </xf>
    <xf numFmtId="0" fontId="4" fillId="0" borderId="5" xfId="0" applyFont="1" applyBorder="1" applyAlignment="1">
      <alignment horizontal="left" vertical="center"/>
    </xf>
    <xf numFmtId="0" fontId="7" fillId="0" borderId="1" xfId="0" applyFont="1" applyBorder="1" applyAlignment="1">
      <alignment horizontal="left" vertical="center" wrapText="1"/>
    </xf>
    <xf numFmtId="0" fontId="4" fillId="0" borderId="1" xfId="0" applyFont="1" applyFill="1" applyBorder="1" applyAlignment="1">
      <alignment horizontal="left" vertical="center" wrapText="1"/>
    </xf>
    <xf numFmtId="0" fontId="7" fillId="0" borderId="1" xfId="0" applyFont="1" applyFill="1" applyBorder="1" applyAlignment="1">
      <alignment horizontal="left" vertical="center"/>
    </xf>
    <xf numFmtId="0" fontId="7" fillId="0" borderId="6" xfId="0" applyFont="1" applyFill="1" applyBorder="1" applyAlignment="1">
      <alignment horizontal="left" vertical="center"/>
    </xf>
    <xf numFmtId="0" fontId="4" fillId="8" borderId="5" xfId="0" applyFont="1" applyFill="1" applyBorder="1" applyAlignment="1">
      <alignment horizontal="left" vertical="center"/>
    </xf>
    <xf numFmtId="0" fontId="4" fillId="0" borderId="1" xfId="0" quotePrefix="1" applyFont="1" applyBorder="1" applyAlignment="1">
      <alignment horizontal="left" vertical="center" wrapText="1"/>
    </xf>
    <xf numFmtId="0" fontId="4" fillId="0" borderId="8" xfId="0" quotePrefix="1" applyFont="1" applyBorder="1" applyAlignment="1">
      <alignment horizontal="left" vertical="center" wrapText="1"/>
    </xf>
    <xf numFmtId="0" fontId="7" fillId="0" borderId="8" xfId="0" applyFont="1" applyBorder="1" applyAlignment="1">
      <alignment horizontal="left" vertical="center"/>
    </xf>
    <xf numFmtId="0" fontId="7" fillId="0" borderId="9" xfId="0" applyFont="1" applyBorder="1" applyAlignment="1">
      <alignment horizontal="left" vertical="center"/>
    </xf>
    <xf numFmtId="0" fontId="7" fillId="0" borderId="6" xfId="0" applyFont="1" applyBorder="1" applyAlignment="1">
      <alignment horizontal="left" vertical="center" wrapText="1"/>
    </xf>
    <xf numFmtId="3" fontId="12" fillId="5" borderId="1" xfId="0" applyNumberFormat="1" applyFont="1" applyFill="1" applyBorder="1" applyAlignment="1" applyProtection="1">
      <alignment horizontal="center" vertical="center"/>
    </xf>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12</xdr:row>
          <xdr:rowOff>180975</xdr:rowOff>
        </xdr:from>
        <xdr:to>
          <xdr:col>1</xdr:col>
          <xdr:colOff>2390775</xdr:colOff>
          <xdr:row>15</xdr:row>
          <xdr:rowOff>76200</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1</xdr:row>
          <xdr:rowOff>123825</xdr:rowOff>
        </xdr:from>
        <xdr:to>
          <xdr:col>17</xdr:col>
          <xdr:colOff>1619250</xdr:colOff>
          <xdr:row>1</xdr:row>
          <xdr:rowOff>571500</xdr:rowOff>
        </xdr:to>
        <xdr:sp macro="" textlink="">
          <xdr:nvSpPr>
            <xdr:cNvPr id="6161" name="Button 17" hidden="1">
              <a:extLst>
                <a:ext uri="{63B3BB69-23CF-44E3-9099-C40C66FF867C}">
                  <a14:compatExt spid="_x0000_s6161"/>
                </a:ext>
                <a:ext uri="{FF2B5EF4-FFF2-40B4-BE49-F238E27FC236}">
                  <a16:creationId xmlns:a16="http://schemas.microsoft.com/office/drawing/2014/main" xmlns="" id="{00000000-0008-0000-0300-00001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Calculeaza comisioane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1</xdr:row>
          <xdr:rowOff>695325</xdr:rowOff>
        </xdr:from>
        <xdr:to>
          <xdr:col>17</xdr:col>
          <xdr:colOff>1609725</xdr:colOff>
          <xdr:row>2</xdr:row>
          <xdr:rowOff>57150</xdr:rowOff>
        </xdr:to>
        <xdr:sp macro="" textlink="">
          <xdr:nvSpPr>
            <xdr:cNvPr id="6179" name="Button 35" hidden="1">
              <a:extLst>
                <a:ext uri="{63B3BB69-23CF-44E3-9099-C40C66FF867C}">
                  <a14:compatExt spid="_x0000_s6179"/>
                </a:ext>
                <a:ext uri="{FF2B5EF4-FFF2-40B4-BE49-F238E27FC236}">
                  <a16:creationId xmlns:a16="http://schemas.microsoft.com/office/drawing/2014/main" xmlns="" id="{EF50640D-0818-8D48-95F3-1CD861CD2AA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Resetare formular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2</xdr:row>
          <xdr:rowOff>180975</xdr:rowOff>
        </xdr:from>
        <xdr:to>
          <xdr:col>17</xdr:col>
          <xdr:colOff>1609725</xdr:colOff>
          <xdr:row>3</xdr:row>
          <xdr:rowOff>419100</xdr:rowOff>
        </xdr:to>
        <xdr:sp macro="" textlink="">
          <xdr:nvSpPr>
            <xdr:cNvPr id="6348" name="Button 204" hidden="1">
              <a:extLst>
                <a:ext uri="{63B3BB69-23CF-44E3-9099-C40C66FF867C}">
                  <a14:compatExt spid="_x0000_s6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Calibri"/>
                  <a:cs typeface="Calibri"/>
                </a:rPr>
                <a:t>Exportare in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31</xdr:row>
      <xdr:rowOff>1</xdr:rowOff>
    </xdr:from>
    <xdr:to>
      <xdr:col>12</xdr:col>
      <xdr:colOff>342900</xdr:colOff>
      <xdr:row>46</xdr:row>
      <xdr:rowOff>145100</xdr:rowOff>
    </xdr:to>
    <xdr:pic>
      <xdr:nvPicPr>
        <xdr:cNvPr id="3" name="Picture 2"/>
        <xdr:cNvPicPr>
          <a:picLocks noChangeAspect="1"/>
        </xdr:cNvPicPr>
      </xdr:nvPicPr>
      <xdr:blipFill>
        <a:blip xmlns:r="http://schemas.openxmlformats.org/officeDocument/2006/relationships" r:embed="rId1"/>
        <a:stretch>
          <a:fillRect/>
        </a:stretch>
      </xdr:blipFill>
      <xdr:spPr>
        <a:xfrm>
          <a:off x="685800" y="2066926"/>
          <a:ext cx="7886700" cy="3145474"/>
        </a:xfrm>
        <a:prstGeom prst="rect">
          <a:avLst/>
        </a:prstGeom>
      </xdr:spPr>
    </xdr:pic>
    <xdr:clientData/>
  </xdr:twoCellAnchor>
  <xdr:twoCellAnchor editAs="oneCell">
    <xdr:from>
      <xdr:col>1</xdr:col>
      <xdr:colOff>0</xdr:colOff>
      <xdr:row>50</xdr:row>
      <xdr:rowOff>0</xdr:rowOff>
    </xdr:from>
    <xdr:to>
      <xdr:col>12</xdr:col>
      <xdr:colOff>322581</xdr:colOff>
      <xdr:row>65</xdr:row>
      <xdr:rowOff>152400</xdr:rowOff>
    </xdr:to>
    <xdr:pic>
      <xdr:nvPicPr>
        <xdr:cNvPr id="4" name="Picture 3"/>
        <xdr:cNvPicPr>
          <a:picLocks noChangeAspect="1"/>
        </xdr:cNvPicPr>
      </xdr:nvPicPr>
      <xdr:blipFill>
        <a:blip xmlns:r="http://schemas.openxmlformats.org/officeDocument/2006/relationships" r:embed="rId2"/>
        <a:stretch>
          <a:fillRect/>
        </a:stretch>
      </xdr:blipFill>
      <xdr:spPr>
        <a:xfrm>
          <a:off x="685800" y="5867400"/>
          <a:ext cx="7866381" cy="3152775"/>
        </a:xfrm>
        <a:prstGeom prst="rect">
          <a:avLst/>
        </a:prstGeom>
      </xdr:spPr>
    </xdr:pic>
    <xdr:clientData/>
  </xdr:twoCellAnchor>
  <xdr:twoCellAnchor editAs="oneCell">
    <xdr:from>
      <xdr:col>1</xdr:col>
      <xdr:colOff>0</xdr:colOff>
      <xdr:row>73</xdr:row>
      <xdr:rowOff>0</xdr:rowOff>
    </xdr:from>
    <xdr:to>
      <xdr:col>5</xdr:col>
      <xdr:colOff>66324</xdr:colOff>
      <xdr:row>99</xdr:row>
      <xdr:rowOff>56493</xdr:rowOff>
    </xdr:to>
    <xdr:pic>
      <xdr:nvPicPr>
        <xdr:cNvPr id="5" name="Picture 4"/>
        <xdr:cNvPicPr>
          <a:picLocks noChangeAspect="1"/>
        </xdr:cNvPicPr>
      </xdr:nvPicPr>
      <xdr:blipFill>
        <a:blip xmlns:r="http://schemas.openxmlformats.org/officeDocument/2006/relationships" r:embed="rId3"/>
        <a:stretch>
          <a:fillRect/>
        </a:stretch>
      </xdr:blipFill>
      <xdr:spPr>
        <a:xfrm>
          <a:off x="685800" y="10467975"/>
          <a:ext cx="2809524" cy="5257143"/>
        </a:xfrm>
        <a:prstGeom prst="rect">
          <a:avLst/>
        </a:prstGeom>
      </xdr:spPr>
    </xdr:pic>
    <xdr:clientData/>
  </xdr:twoCellAnchor>
  <xdr:twoCellAnchor editAs="oneCell">
    <xdr:from>
      <xdr:col>1</xdr:col>
      <xdr:colOff>85725</xdr:colOff>
      <xdr:row>101</xdr:row>
      <xdr:rowOff>152400</xdr:rowOff>
    </xdr:from>
    <xdr:to>
      <xdr:col>2</xdr:col>
      <xdr:colOff>476250</xdr:colOff>
      <xdr:row>120</xdr:row>
      <xdr:rowOff>35775</xdr:rowOff>
    </xdr:to>
    <xdr:pic>
      <xdr:nvPicPr>
        <xdr:cNvPr id="6" name="Picture 5"/>
        <xdr:cNvPicPr>
          <a:picLocks noChangeAspect="1"/>
        </xdr:cNvPicPr>
      </xdr:nvPicPr>
      <xdr:blipFill>
        <a:blip xmlns:r="http://schemas.openxmlformats.org/officeDocument/2006/relationships" r:embed="rId4"/>
        <a:stretch>
          <a:fillRect/>
        </a:stretch>
      </xdr:blipFill>
      <xdr:spPr>
        <a:xfrm>
          <a:off x="771525" y="16221075"/>
          <a:ext cx="1076325" cy="3683850"/>
        </a:xfrm>
        <a:prstGeom prst="rect">
          <a:avLst/>
        </a:prstGeom>
      </xdr:spPr>
    </xdr:pic>
    <xdr:clientData/>
  </xdr:twoCellAnchor>
  <xdr:twoCellAnchor editAs="oneCell">
    <xdr:from>
      <xdr:col>1</xdr:col>
      <xdr:colOff>0</xdr:colOff>
      <xdr:row>124</xdr:row>
      <xdr:rowOff>0</xdr:rowOff>
    </xdr:from>
    <xdr:to>
      <xdr:col>8</xdr:col>
      <xdr:colOff>18448</xdr:colOff>
      <xdr:row>137</xdr:row>
      <xdr:rowOff>37770</xdr:rowOff>
    </xdr:to>
    <xdr:pic>
      <xdr:nvPicPr>
        <xdr:cNvPr id="7" name="Picture 6"/>
        <xdr:cNvPicPr>
          <a:picLocks noChangeAspect="1"/>
        </xdr:cNvPicPr>
      </xdr:nvPicPr>
      <xdr:blipFill>
        <a:blip xmlns:r="http://schemas.openxmlformats.org/officeDocument/2006/relationships" r:embed="rId5"/>
        <a:stretch>
          <a:fillRect/>
        </a:stretch>
      </xdr:blipFill>
      <xdr:spPr>
        <a:xfrm>
          <a:off x="685800" y="20669250"/>
          <a:ext cx="4819048" cy="2638095"/>
        </a:xfrm>
        <a:prstGeom prst="rect">
          <a:avLst/>
        </a:prstGeom>
      </xdr:spPr>
    </xdr:pic>
    <xdr:clientData/>
  </xdr:twoCellAnchor>
  <xdr:twoCellAnchor editAs="oneCell">
    <xdr:from>
      <xdr:col>1</xdr:col>
      <xdr:colOff>0</xdr:colOff>
      <xdr:row>142</xdr:row>
      <xdr:rowOff>0</xdr:rowOff>
    </xdr:from>
    <xdr:to>
      <xdr:col>2</xdr:col>
      <xdr:colOff>418962</xdr:colOff>
      <xdr:row>158</xdr:row>
      <xdr:rowOff>180552</xdr:rowOff>
    </xdr:to>
    <xdr:pic>
      <xdr:nvPicPr>
        <xdr:cNvPr id="8" name="Picture 7"/>
        <xdr:cNvPicPr>
          <a:picLocks noChangeAspect="1"/>
        </xdr:cNvPicPr>
      </xdr:nvPicPr>
      <xdr:blipFill>
        <a:blip xmlns:r="http://schemas.openxmlformats.org/officeDocument/2006/relationships" r:embed="rId6"/>
        <a:stretch>
          <a:fillRect/>
        </a:stretch>
      </xdr:blipFill>
      <xdr:spPr>
        <a:xfrm>
          <a:off x="685800" y="24269700"/>
          <a:ext cx="1104762" cy="3380952"/>
        </a:xfrm>
        <a:prstGeom prst="rect">
          <a:avLst/>
        </a:prstGeom>
      </xdr:spPr>
    </xdr:pic>
    <xdr:clientData/>
  </xdr:twoCellAnchor>
  <xdr:twoCellAnchor editAs="oneCell">
    <xdr:from>
      <xdr:col>1</xdr:col>
      <xdr:colOff>0</xdr:colOff>
      <xdr:row>164</xdr:row>
      <xdr:rowOff>0</xdr:rowOff>
    </xdr:from>
    <xdr:to>
      <xdr:col>19</xdr:col>
      <xdr:colOff>617505</xdr:colOff>
      <xdr:row>184</xdr:row>
      <xdr:rowOff>85214</xdr:rowOff>
    </xdr:to>
    <xdr:pic>
      <xdr:nvPicPr>
        <xdr:cNvPr id="9" name="Picture 8"/>
        <xdr:cNvPicPr>
          <a:picLocks noChangeAspect="1"/>
        </xdr:cNvPicPr>
      </xdr:nvPicPr>
      <xdr:blipFill>
        <a:blip xmlns:r="http://schemas.openxmlformats.org/officeDocument/2006/relationships" r:embed="rId7"/>
        <a:stretch>
          <a:fillRect/>
        </a:stretch>
      </xdr:blipFill>
      <xdr:spPr>
        <a:xfrm>
          <a:off x="685800" y="28670250"/>
          <a:ext cx="12961905" cy="4085714"/>
        </a:xfrm>
        <a:prstGeom prst="rect">
          <a:avLst/>
        </a:prstGeom>
      </xdr:spPr>
    </xdr:pic>
    <xdr:clientData/>
  </xdr:twoCellAnchor>
  <xdr:twoCellAnchor editAs="oneCell">
    <xdr:from>
      <xdr:col>1</xdr:col>
      <xdr:colOff>0</xdr:colOff>
      <xdr:row>188</xdr:row>
      <xdr:rowOff>0</xdr:rowOff>
    </xdr:from>
    <xdr:to>
      <xdr:col>19</xdr:col>
      <xdr:colOff>607981</xdr:colOff>
      <xdr:row>189</xdr:row>
      <xdr:rowOff>180927</xdr:rowOff>
    </xdr:to>
    <xdr:pic>
      <xdr:nvPicPr>
        <xdr:cNvPr id="10" name="Picture 9"/>
        <xdr:cNvPicPr>
          <a:picLocks noChangeAspect="1"/>
        </xdr:cNvPicPr>
      </xdr:nvPicPr>
      <xdr:blipFill>
        <a:blip xmlns:r="http://schemas.openxmlformats.org/officeDocument/2006/relationships" r:embed="rId8"/>
        <a:stretch>
          <a:fillRect/>
        </a:stretch>
      </xdr:blipFill>
      <xdr:spPr>
        <a:xfrm>
          <a:off x="685800" y="33470850"/>
          <a:ext cx="12952381" cy="380952"/>
        </a:xfrm>
        <a:prstGeom prst="rect">
          <a:avLst/>
        </a:prstGeom>
      </xdr:spPr>
    </xdr:pic>
    <xdr:clientData/>
  </xdr:twoCellAnchor>
  <xdr:twoCellAnchor editAs="oneCell">
    <xdr:from>
      <xdr:col>1</xdr:col>
      <xdr:colOff>38100</xdr:colOff>
      <xdr:row>6</xdr:row>
      <xdr:rowOff>180975</xdr:rowOff>
    </xdr:from>
    <xdr:to>
      <xdr:col>11</xdr:col>
      <xdr:colOff>589345</xdr:colOff>
      <xdr:row>27</xdr:row>
      <xdr:rowOff>66675</xdr:rowOff>
    </xdr:to>
    <xdr:pic>
      <xdr:nvPicPr>
        <xdr:cNvPr id="2" name="Picture 1"/>
        <xdr:cNvPicPr>
          <a:picLocks noChangeAspect="1"/>
        </xdr:cNvPicPr>
      </xdr:nvPicPr>
      <xdr:blipFill>
        <a:blip xmlns:r="http://schemas.openxmlformats.org/officeDocument/2006/relationships" r:embed="rId9"/>
        <a:stretch>
          <a:fillRect/>
        </a:stretch>
      </xdr:blipFill>
      <xdr:spPr>
        <a:xfrm>
          <a:off x="723900" y="1447800"/>
          <a:ext cx="7409245" cy="40862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uniuneanotarilor.ro/files/omj46c.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4:R32"/>
  <sheetViews>
    <sheetView topLeftCell="B1" workbookViewId="0">
      <selection activeCell="J9" sqref="J9:L14"/>
    </sheetView>
  </sheetViews>
  <sheetFormatPr defaultColWidth="8.875" defaultRowHeight="15.75" x14ac:dyDescent="0.25"/>
  <cols>
    <col min="2" max="2" width="71.125" customWidth="1"/>
    <col min="3" max="3" width="20.625" customWidth="1"/>
    <col min="4" max="4" width="10.125" bestFit="1" customWidth="1"/>
    <col min="5" max="5" width="9" style="14"/>
  </cols>
  <sheetData>
    <row r="4" spans="2:18" x14ac:dyDescent="0.25">
      <c r="B4" t="s">
        <v>61</v>
      </c>
      <c r="C4" t="s">
        <v>62</v>
      </c>
      <c r="D4" t="s">
        <v>63</v>
      </c>
      <c r="E4" s="14" t="s">
        <v>65</v>
      </c>
    </row>
    <row r="5" spans="2:18" ht="83.25" customHeight="1" x14ac:dyDescent="0.25">
      <c r="B5" s="15"/>
      <c r="C5" s="17">
        <v>21000</v>
      </c>
      <c r="D5" s="17">
        <v>756</v>
      </c>
      <c r="E5" s="16" t="s">
        <v>64</v>
      </c>
    </row>
    <row r="7" spans="2:18" x14ac:dyDescent="0.25">
      <c r="R7" s="18"/>
    </row>
    <row r="9" spans="2:18" x14ac:dyDescent="0.25">
      <c r="J9" t="s">
        <v>79</v>
      </c>
      <c r="N9" t="s">
        <v>81</v>
      </c>
    </row>
    <row r="11" spans="2:18" x14ac:dyDescent="0.25">
      <c r="J11" t="s">
        <v>80</v>
      </c>
    </row>
    <row r="12" spans="2:18" x14ac:dyDescent="0.25">
      <c r="C12">
        <v>15000</v>
      </c>
      <c r="D12">
        <f>C12*0.022</f>
        <v>330</v>
      </c>
    </row>
    <row r="13" spans="2:18" x14ac:dyDescent="0.25">
      <c r="C13">
        <v>5000</v>
      </c>
      <c r="D13">
        <f>330+C13*0.016</f>
        <v>410</v>
      </c>
      <c r="J13" t="s">
        <v>82</v>
      </c>
      <c r="N13" t="s">
        <v>83</v>
      </c>
    </row>
    <row r="17" spans="9:11" x14ac:dyDescent="0.25">
      <c r="J17" t="s">
        <v>84</v>
      </c>
    </row>
    <row r="19" spans="9:11" x14ac:dyDescent="0.25">
      <c r="J19" t="s">
        <v>90</v>
      </c>
    </row>
    <row r="20" spans="9:11" x14ac:dyDescent="0.25">
      <c r="J20" t="s">
        <v>85</v>
      </c>
      <c r="K20" s="29">
        <v>1.5E-3</v>
      </c>
    </row>
    <row r="21" spans="9:11" x14ac:dyDescent="0.25">
      <c r="J21" t="s">
        <v>86</v>
      </c>
      <c r="K21" s="29">
        <v>5.0000000000000001E-3</v>
      </c>
    </row>
    <row r="23" spans="9:11" x14ac:dyDescent="0.25">
      <c r="J23" t="s">
        <v>87</v>
      </c>
    </row>
    <row r="24" spans="9:11" x14ac:dyDescent="0.25">
      <c r="J24" t="s">
        <v>85</v>
      </c>
      <c r="K24" s="19">
        <v>1.5E-3</v>
      </c>
    </row>
    <row r="26" spans="9:11" x14ac:dyDescent="0.25">
      <c r="J26" t="s">
        <v>88</v>
      </c>
    </row>
    <row r="27" spans="9:11" x14ac:dyDescent="0.25">
      <c r="J27" t="s">
        <v>89</v>
      </c>
    </row>
    <row r="32" spans="9:11" x14ac:dyDescent="0.25">
      <c r="I32" s="29">
        <v>1E-3</v>
      </c>
    </row>
  </sheetData>
  <dataValidations count="1">
    <dataValidation type="decimal" allowBlank="1" showInputMessage="1" showErrorMessage="1" sqref="C5">
      <formula1>0</formula1>
      <formula2>999999999999999</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comisioane">
                <anchor moveWithCells="1" sizeWithCells="1">
                  <from>
                    <xdr:col>1</xdr:col>
                    <xdr:colOff>571500</xdr:colOff>
                    <xdr:row>12</xdr:row>
                    <xdr:rowOff>180975</xdr:rowOff>
                  </from>
                  <to>
                    <xdr:col>1</xdr:col>
                    <xdr:colOff>2390775</xdr:colOff>
                    <xdr:row>15</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Tabela_final!$A$22:$A$44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9"/>
  <sheetViews>
    <sheetView topLeftCell="A9" zoomScaleNormal="100" workbookViewId="0">
      <selection activeCell="F19" sqref="F19"/>
    </sheetView>
  </sheetViews>
  <sheetFormatPr defaultColWidth="9" defaultRowHeight="15.75" x14ac:dyDescent="0.25"/>
  <cols>
    <col min="1" max="1" width="86" style="11" customWidth="1"/>
    <col min="2" max="4" width="13.375" style="11" customWidth="1"/>
    <col min="5" max="5" width="9" style="11"/>
    <col min="6" max="6" width="24.5" style="11" bestFit="1" customWidth="1"/>
    <col min="7" max="16384" width="9" style="11"/>
  </cols>
  <sheetData>
    <row r="1" spans="1:6" s="13" customFormat="1" ht="50.25" customHeight="1" x14ac:dyDescent="0.25">
      <c r="A1" s="79" t="s">
        <v>91</v>
      </c>
      <c r="B1" s="79" t="s">
        <v>103</v>
      </c>
      <c r="C1" s="79" t="s">
        <v>119</v>
      </c>
      <c r="F1" s="36" t="s">
        <v>96</v>
      </c>
    </row>
    <row r="2" spans="1:6" s="12" customFormat="1" ht="31.5" x14ac:dyDescent="0.25">
      <c r="A2" s="34" t="s">
        <v>60</v>
      </c>
      <c r="B2" s="36">
        <v>21</v>
      </c>
      <c r="C2" s="36">
        <v>26</v>
      </c>
      <c r="F2" s="71">
        <v>30000000000</v>
      </c>
    </row>
    <row r="3" spans="1:6" s="12" customFormat="1" x14ac:dyDescent="0.25">
      <c r="A3" s="27" t="s">
        <v>67</v>
      </c>
      <c r="B3" s="20"/>
      <c r="C3" s="20"/>
    </row>
    <row r="4" spans="1:6" s="12" customFormat="1" x14ac:dyDescent="0.25">
      <c r="A4" s="26" t="s">
        <v>94</v>
      </c>
      <c r="B4" s="20"/>
      <c r="C4" s="20"/>
    </row>
    <row r="5" spans="1:6" s="12" customFormat="1" x14ac:dyDescent="0.25">
      <c r="A5" s="26" t="s">
        <v>95</v>
      </c>
      <c r="B5" s="20"/>
      <c r="C5" s="20"/>
    </row>
    <row r="6" spans="1:6" s="12" customFormat="1" ht="78.75" x14ac:dyDescent="0.25">
      <c r="A6" s="26" t="s">
        <v>71</v>
      </c>
      <c r="B6" s="20"/>
      <c r="C6" s="20"/>
      <c r="F6" s="34" t="s">
        <v>60</v>
      </c>
    </row>
    <row r="7" spans="1:6" s="12" customFormat="1" ht="63" x14ac:dyDescent="0.25">
      <c r="A7" s="34" t="s">
        <v>129</v>
      </c>
      <c r="B7" s="36">
        <v>31</v>
      </c>
      <c r="C7" s="36">
        <v>35</v>
      </c>
      <c r="F7" s="34" t="s">
        <v>129</v>
      </c>
    </row>
    <row r="8" spans="1:6" s="12" customFormat="1" x14ac:dyDescent="0.25">
      <c r="A8" s="28" t="s">
        <v>68</v>
      </c>
      <c r="B8" s="20"/>
      <c r="C8" s="20"/>
      <c r="F8" s="35" t="s">
        <v>130</v>
      </c>
    </row>
    <row r="9" spans="1:6" s="12" customFormat="1" ht="31.5" x14ac:dyDescent="0.25">
      <c r="A9" s="28" t="s">
        <v>69</v>
      </c>
      <c r="B9" s="20"/>
      <c r="C9" s="20"/>
    </row>
    <row r="10" spans="1:6" s="12" customFormat="1" x14ac:dyDescent="0.25">
      <c r="A10" s="28" t="s">
        <v>72</v>
      </c>
      <c r="B10" s="20"/>
      <c r="C10" s="20"/>
    </row>
    <row r="11" spans="1:6" s="12" customFormat="1" x14ac:dyDescent="0.25">
      <c r="A11" s="28" t="s">
        <v>73</v>
      </c>
      <c r="B11" s="20"/>
      <c r="C11" s="20"/>
    </row>
    <row r="12" spans="1:6" s="12" customFormat="1" x14ac:dyDescent="0.25">
      <c r="A12" s="28" t="s">
        <v>74</v>
      </c>
      <c r="B12" s="20"/>
      <c r="C12" s="20"/>
    </row>
    <row r="13" spans="1:6" s="12" customFormat="1" x14ac:dyDescent="0.25">
      <c r="A13" s="28" t="s">
        <v>70</v>
      </c>
      <c r="B13" s="20"/>
      <c r="C13" s="20"/>
    </row>
    <row r="14" spans="1:6" s="12" customFormat="1" ht="31.5" x14ac:dyDescent="0.25">
      <c r="A14" s="28" t="s">
        <v>75</v>
      </c>
      <c r="B14" s="20"/>
      <c r="C14" s="20"/>
    </row>
    <row r="15" spans="1:6" s="12" customFormat="1" ht="31.5" x14ac:dyDescent="0.25">
      <c r="A15" s="28" t="s">
        <v>76</v>
      </c>
      <c r="B15" s="20"/>
      <c r="C15" s="20"/>
    </row>
    <row r="16" spans="1:6" s="12" customFormat="1" ht="47.25" x14ac:dyDescent="0.25">
      <c r="A16" s="28" t="s">
        <v>77</v>
      </c>
      <c r="B16" s="20"/>
      <c r="C16" s="20"/>
    </row>
    <row r="17" spans="1:5" x14ac:dyDescent="0.25">
      <c r="A17" s="35" t="s">
        <v>130</v>
      </c>
      <c r="B17" s="37">
        <v>45</v>
      </c>
      <c r="C17" s="37">
        <v>48</v>
      </c>
    </row>
    <row r="20" spans="1:5" x14ac:dyDescent="0.25">
      <c r="A20" s="79" t="s">
        <v>91</v>
      </c>
      <c r="B20" s="80" t="s">
        <v>58</v>
      </c>
      <c r="C20" s="80" t="s">
        <v>59</v>
      </c>
      <c r="D20" s="80" t="s">
        <v>66</v>
      </c>
      <c r="E20" s="13"/>
    </row>
    <row r="21" spans="1:5" ht="33.950000000000003" customHeight="1" x14ac:dyDescent="0.25">
      <c r="A21" s="96" t="s">
        <v>60</v>
      </c>
      <c r="B21" s="72">
        <v>1</v>
      </c>
      <c r="C21" s="73">
        <v>150</v>
      </c>
      <c r="D21" s="74">
        <v>2.1999999999999999E-2</v>
      </c>
      <c r="E21" s="12"/>
    </row>
    <row r="22" spans="1:5" x14ac:dyDescent="0.25">
      <c r="A22" s="97"/>
      <c r="B22" s="72">
        <v>15001</v>
      </c>
      <c r="C22" s="73">
        <v>330</v>
      </c>
      <c r="D22" s="74">
        <v>1.6E-2</v>
      </c>
      <c r="E22" s="12"/>
    </row>
    <row r="23" spans="1:5" x14ac:dyDescent="0.25">
      <c r="A23" s="97"/>
      <c r="B23" s="72">
        <v>30001</v>
      </c>
      <c r="C23" s="73">
        <v>580</v>
      </c>
      <c r="D23" s="74">
        <v>1.2999999999999999E-2</v>
      </c>
      <c r="E23" s="12"/>
    </row>
    <row r="24" spans="1:5" x14ac:dyDescent="0.25">
      <c r="A24" s="97"/>
      <c r="B24" s="72">
        <v>60001</v>
      </c>
      <c r="C24" s="73">
        <v>970</v>
      </c>
      <c r="D24" s="74">
        <v>8.9999999999999993E-3</v>
      </c>
      <c r="E24" s="12"/>
    </row>
    <row r="25" spans="1:5" x14ac:dyDescent="0.25">
      <c r="A25" s="97"/>
      <c r="B25" s="72">
        <v>300001</v>
      </c>
      <c r="C25" s="73">
        <v>3130</v>
      </c>
      <c r="D25" s="74">
        <v>6.4999999999999997E-3</v>
      </c>
      <c r="E25" s="12"/>
    </row>
    <row r="26" spans="1:5" x14ac:dyDescent="0.25">
      <c r="A26" s="98"/>
      <c r="B26" s="72">
        <v>600001</v>
      </c>
      <c r="C26" s="73">
        <v>5080</v>
      </c>
      <c r="D26" s="74">
        <v>4.4000000000000003E-3</v>
      </c>
      <c r="E26" s="12"/>
    </row>
    <row r="27" spans="1:5" x14ac:dyDescent="0.25">
      <c r="A27" s="30" t="s">
        <v>67</v>
      </c>
      <c r="B27" s="31"/>
      <c r="C27" s="31"/>
      <c r="D27" s="31"/>
      <c r="E27" s="12"/>
    </row>
    <row r="28" spans="1:5" x14ac:dyDescent="0.25">
      <c r="A28" s="32" t="s">
        <v>94</v>
      </c>
      <c r="B28" s="31"/>
      <c r="C28" s="31"/>
      <c r="D28" s="31"/>
      <c r="E28" s="12"/>
    </row>
    <row r="29" spans="1:5" x14ac:dyDescent="0.25">
      <c r="A29" s="32" t="s">
        <v>95</v>
      </c>
      <c r="B29" s="31"/>
      <c r="C29" s="31"/>
      <c r="D29" s="31"/>
      <c r="E29" s="12"/>
    </row>
    <row r="30" spans="1:5" ht="31.5" x14ac:dyDescent="0.25">
      <c r="A30" s="32" t="s">
        <v>71</v>
      </c>
      <c r="B30" s="31"/>
      <c r="C30" s="31"/>
      <c r="D30" s="31"/>
      <c r="E30" s="12"/>
    </row>
    <row r="31" spans="1:5" ht="17.100000000000001" customHeight="1" x14ac:dyDescent="0.25">
      <c r="A31" s="92" t="s">
        <v>36</v>
      </c>
      <c r="B31" s="75">
        <v>1</v>
      </c>
      <c r="C31" s="72">
        <v>100</v>
      </c>
      <c r="D31" s="76">
        <v>6.4999999999999997E-3</v>
      </c>
      <c r="E31" s="12"/>
    </row>
    <row r="32" spans="1:5" x14ac:dyDescent="0.25">
      <c r="A32" s="93"/>
      <c r="B32" s="75">
        <v>50001</v>
      </c>
      <c r="C32" s="37">
        <v>325</v>
      </c>
      <c r="D32" s="77">
        <v>5.0000000000000001E-3</v>
      </c>
      <c r="E32" s="12"/>
    </row>
    <row r="33" spans="1:6" x14ac:dyDescent="0.25">
      <c r="A33" s="93"/>
      <c r="B33" s="75">
        <v>100001</v>
      </c>
      <c r="C33" s="37">
        <v>575</v>
      </c>
      <c r="D33" s="77">
        <v>3.2000000000000002E-3</v>
      </c>
      <c r="E33" s="12"/>
      <c r="F33" s="46"/>
    </row>
    <row r="34" spans="1:6" x14ac:dyDescent="0.25">
      <c r="A34" s="93"/>
      <c r="B34" s="75">
        <v>200001</v>
      </c>
      <c r="C34" s="37">
        <v>895</v>
      </c>
      <c r="D34" s="77">
        <v>1.2999999999999999E-3</v>
      </c>
      <c r="E34" s="12"/>
    </row>
    <row r="35" spans="1:6" x14ac:dyDescent="0.25">
      <c r="A35" s="94"/>
      <c r="B35" s="75">
        <v>500001</v>
      </c>
      <c r="C35" s="37">
        <v>1285</v>
      </c>
      <c r="D35" s="77">
        <v>6.9999999999999999E-4</v>
      </c>
      <c r="E35" s="12"/>
    </row>
    <row r="36" spans="1:6" x14ac:dyDescent="0.25">
      <c r="A36" s="32" t="s">
        <v>68</v>
      </c>
      <c r="B36" s="31"/>
      <c r="C36" s="31"/>
      <c r="D36" s="31"/>
      <c r="E36" s="12"/>
    </row>
    <row r="37" spans="1:6" ht="31.5" x14ac:dyDescent="0.25">
      <c r="A37" s="32" t="s">
        <v>69</v>
      </c>
      <c r="B37" s="31"/>
      <c r="C37" s="31"/>
      <c r="D37" s="31"/>
      <c r="E37" s="12"/>
    </row>
    <row r="38" spans="1:6" x14ac:dyDescent="0.25">
      <c r="A38" s="32" t="s">
        <v>72</v>
      </c>
      <c r="B38" s="31"/>
      <c r="C38" s="31"/>
      <c r="D38" s="31"/>
      <c r="E38" s="12"/>
    </row>
    <row r="39" spans="1:6" x14ac:dyDescent="0.25">
      <c r="A39" s="32" t="s">
        <v>73</v>
      </c>
      <c r="B39" s="31"/>
      <c r="C39" s="31"/>
      <c r="D39" s="31"/>
      <c r="E39" s="12"/>
    </row>
    <row r="40" spans="1:6" x14ac:dyDescent="0.25">
      <c r="A40" s="32" t="s">
        <v>74</v>
      </c>
      <c r="B40" s="31"/>
      <c r="C40" s="31"/>
      <c r="D40" s="31"/>
      <c r="E40" s="12"/>
    </row>
    <row r="41" spans="1:6" x14ac:dyDescent="0.25">
      <c r="A41" s="32" t="s">
        <v>70</v>
      </c>
      <c r="B41" s="31"/>
      <c r="C41" s="31"/>
      <c r="D41" s="31"/>
    </row>
    <row r="42" spans="1:6" ht="31.5" x14ac:dyDescent="0.25">
      <c r="A42" s="32" t="s">
        <v>75</v>
      </c>
      <c r="B42" s="31"/>
      <c r="C42" s="31"/>
      <c r="D42" s="31"/>
    </row>
    <row r="43" spans="1:6" ht="31.5" x14ac:dyDescent="0.25">
      <c r="A43" s="32" t="s">
        <v>76</v>
      </c>
      <c r="B43" s="31"/>
      <c r="C43" s="31"/>
      <c r="D43" s="31"/>
    </row>
    <row r="44" spans="1:6" ht="47.25" x14ac:dyDescent="0.25">
      <c r="A44" s="32" t="s">
        <v>77</v>
      </c>
      <c r="B44" s="31"/>
      <c r="C44" s="31"/>
      <c r="D44" s="31"/>
    </row>
    <row r="45" spans="1:6" ht="17.100000000000001" customHeight="1" x14ac:dyDescent="0.25">
      <c r="A45" s="95" t="s">
        <v>118</v>
      </c>
      <c r="B45" s="37">
        <v>1</v>
      </c>
      <c r="C45" s="37">
        <v>150</v>
      </c>
      <c r="D45" s="78">
        <v>2.7E-2</v>
      </c>
    </row>
    <row r="46" spans="1:6" x14ac:dyDescent="0.25">
      <c r="A46" s="95"/>
      <c r="B46" s="37">
        <v>6001</v>
      </c>
      <c r="C46" s="37">
        <v>162</v>
      </c>
      <c r="D46" s="78">
        <v>1.35E-2</v>
      </c>
    </row>
    <row r="47" spans="1:6" x14ac:dyDescent="0.25">
      <c r="A47" s="95"/>
      <c r="B47" s="37">
        <v>30001</v>
      </c>
      <c r="C47" s="37">
        <v>486</v>
      </c>
      <c r="D47" s="78">
        <v>6.0000000000000001E-3</v>
      </c>
    </row>
    <row r="48" spans="1:6" x14ac:dyDescent="0.25">
      <c r="A48" s="95"/>
      <c r="B48" s="37">
        <v>60001</v>
      </c>
      <c r="C48" s="37">
        <v>665</v>
      </c>
      <c r="D48" s="78">
        <v>4.4999999999999997E-3</v>
      </c>
    </row>
    <row r="49" spans="1:1" x14ac:dyDescent="0.25">
      <c r="A49" s="33"/>
    </row>
  </sheetData>
  <mergeCells count="3">
    <mergeCell ref="A31:A35"/>
    <mergeCell ref="A45:A48"/>
    <mergeCell ref="A21:A2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S35"/>
  <sheetViews>
    <sheetView showZeros="0" tabSelected="1" zoomScale="85" zoomScaleNormal="85" workbookViewId="0">
      <selection activeCell="G4" sqref="G4"/>
    </sheetView>
  </sheetViews>
  <sheetFormatPr defaultColWidth="0" defaultRowHeight="15.75" zeroHeight="1" x14ac:dyDescent="0.25"/>
  <cols>
    <col min="1" max="1" width="7.5" style="21" customWidth="1"/>
    <col min="2" max="2" width="31.875" style="21" customWidth="1"/>
    <col min="3" max="3" width="21.625" style="21" customWidth="1"/>
    <col min="4" max="6" width="8.375" style="22" customWidth="1"/>
    <col min="7" max="7" width="21.625" style="21" customWidth="1"/>
    <col min="8" max="13" width="12.625" style="22" customWidth="1"/>
    <col min="14" max="16" width="11" style="83" customWidth="1"/>
    <col min="17" max="17" width="2.5" style="22" customWidth="1"/>
    <col min="18" max="18" width="22.5" style="22" customWidth="1"/>
    <col min="19" max="19" width="2.5" style="22" customWidth="1"/>
    <col min="20" max="16384" width="9" style="22" hidden="1"/>
  </cols>
  <sheetData>
    <row r="1" spans="1:18" ht="29.25" customHeight="1" thickBot="1" x14ac:dyDescent="0.3">
      <c r="A1" s="99" t="s">
        <v>98</v>
      </c>
      <c r="B1" s="107" t="s">
        <v>61</v>
      </c>
      <c r="C1" s="107" t="s">
        <v>92</v>
      </c>
      <c r="D1" s="103" t="s">
        <v>102</v>
      </c>
      <c r="E1" s="103" t="s">
        <v>101</v>
      </c>
      <c r="F1" s="104" t="s">
        <v>99</v>
      </c>
      <c r="G1" s="107" t="s">
        <v>120</v>
      </c>
      <c r="H1" s="100" t="s">
        <v>97</v>
      </c>
      <c r="I1" s="101"/>
      <c r="J1" s="101"/>
      <c r="K1" s="101"/>
      <c r="L1" s="101"/>
      <c r="M1" s="102"/>
      <c r="N1" s="103" t="s">
        <v>148</v>
      </c>
      <c r="O1" s="103" t="s">
        <v>149</v>
      </c>
      <c r="P1" s="103" t="s">
        <v>150</v>
      </c>
      <c r="Q1" s="57"/>
    </row>
    <row r="2" spans="1:18" ht="84.75" customHeight="1" x14ac:dyDescent="0.25">
      <c r="A2" s="99"/>
      <c r="B2" s="107"/>
      <c r="C2" s="107"/>
      <c r="D2" s="103"/>
      <c r="E2" s="103"/>
      <c r="F2" s="105"/>
      <c r="G2" s="107"/>
      <c r="H2" s="108" t="s">
        <v>100</v>
      </c>
      <c r="I2" s="108" t="s">
        <v>9</v>
      </c>
      <c r="J2" s="108" t="s">
        <v>3</v>
      </c>
      <c r="K2" s="108" t="s">
        <v>5</v>
      </c>
      <c r="L2" s="108" t="s">
        <v>6</v>
      </c>
      <c r="M2" s="108" t="s">
        <v>7</v>
      </c>
      <c r="N2" s="103"/>
      <c r="O2" s="103"/>
      <c r="P2" s="103"/>
      <c r="Q2" s="57"/>
      <c r="R2" s="67"/>
    </row>
    <row r="3" spans="1:18" x14ac:dyDescent="0.25">
      <c r="A3" s="99"/>
      <c r="B3" s="107"/>
      <c r="C3" s="107"/>
      <c r="D3" s="103"/>
      <c r="E3" s="103"/>
      <c r="F3" s="106"/>
      <c r="G3" s="107"/>
      <c r="H3" s="109"/>
      <c r="I3" s="109"/>
      <c r="J3" s="109"/>
      <c r="K3" s="109"/>
      <c r="L3" s="109"/>
      <c r="M3" s="109"/>
      <c r="N3" s="103"/>
      <c r="O3" s="103"/>
      <c r="P3" s="103"/>
      <c r="Q3" s="57"/>
      <c r="R3" s="68"/>
    </row>
    <row r="4" spans="1:18" s="23" customFormat="1" ht="70.5" customHeight="1" thickBot="1" x14ac:dyDescent="0.3">
      <c r="A4" s="54">
        <v>1</v>
      </c>
      <c r="B4" s="63" t="s">
        <v>60</v>
      </c>
      <c r="C4" s="64">
        <v>14000</v>
      </c>
      <c r="D4" s="65" t="s">
        <v>104</v>
      </c>
      <c r="E4" s="65">
        <v>3</v>
      </c>
      <c r="F4" s="66">
        <v>60</v>
      </c>
      <c r="G4" s="70">
        <v>308</v>
      </c>
      <c r="H4" s="54">
        <v>60</v>
      </c>
      <c r="I4" s="55">
        <v>30.8</v>
      </c>
      <c r="J4" s="55">
        <v>15.4</v>
      </c>
      <c r="K4" s="55">
        <v>231</v>
      </c>
      <c r="L4" s="55">
        <v>15.4</v>
      </c>
      <c r="M4" s="55">
        <v>15.4</v>
      </c>
      <c r="N4" s="81">
        <v>428</v>
      </c>
      <c r="O4" s="81">
        <f>(G4+H4)*19/100</f>
        <v>69.92</v>
      </c>
      <c r="P4" s="81">
        <f>N4+O4</f>
        <v>497.92</v>
      </c>
      <c r="Q4" s="56"/>
      <c r="R4" s="69"/>
    </row>
    <row r="5" spans="1:18" s="23" customFormat="1" ht="70.5" customHeight="1" x14ac:dyDescent="0.25">
      <c r="A5" s="54">
        <v>2</v>
      </c>
      <c r="B5" s="63" t="s">
        <v>60</v>
      </c>
      <c r="C5" s="64">
        <v>120000</v>
      </c>
      <c r="D5" s="65" t="s">
        <v>104</v>
      </c>
      <c r="E5" s="65"/>
      <c r="F5" s="66">
        <v>180</v>
      </c>
      <c r="G5" s="70">
        <v>1509.991</v>
      </c>
      <c r="H5" s="54">
        <v>0</v>
      </c>
      <c r="I5" s="55">
        <v>150.9991</v>
      </c>
      <c r="J5" s="55">
        <v>75.499549999999999</v>
      </c>
      <c r="K5" s="55">
        <v>1132.49325</v>
      </c>
      <c r="L5" s="55">
        <v>75.499549999999999</v>
      </c>
      <c r="M5" s="55">
        <v>75.499549999999999</v>
      </c>
      <c r="N5" s="81">
        <v>1689.991</v>
      </c>
      <c r="O5" s="81">
        <f t="shared" ref="O5:O8" si="0">(G5+H5)*19/100</f>
        <v>286.89828999999997</v>
      </c>
      <c r="P5" s="81">
        <f t="shared" ref="P5:P8" si="1">N5+O5</f>
        <v>1976.8892900000001</v>
      </c>
      <c r="Q5" s="56"/>
    </row>
    <row r="6" spans="1:18" s="23" customFormat="1" ht="70.5" customHeight="1" x14ac:dyDescent="0.25">
      <c r="A6" s="54">
        <v>3</v>
      </c>
      <c r="B6" s="63"/>
      <c r="C6" s="64"/>
      <c r="D6" s="65"/>
      <c r="E6" s="65"/>
      <c r="F6" s="66"/>
      <c r="G6" s="70"/>
      <c r="H6" s="66"/>
      <c r="I6" s="55"/>
      <c r="J6" s="55"/>
      <c r="K6" s="55"/>
      <c r="L6" s="55"/>
      <c r="M6" s="55"/>
      <c r="N6" s="81"/>
      <c r="O6" s="81">
        <f t="shared" si="0"/>
        <v>0</v>
      </c>
      <c r="P6" s="81">
        <f t="shared" si="1"/>
        <v>0</v>
      </c>
      <c r="Q6" s="56"/>
    </row>
    <row r="7" spans="1:18" s="23" customFormat="1" ht="70.5" customHeight="1" x14ac:dyDescent="0.25">
      <c r="A7" s="54">
        <v>4</v>
      </c>
      <c r="B7" s="63"/>
      <c r="C7" s="64"/>
      <c r="D7" s="65"/>
      <c r="E7" s="65"/>
      <c r="F7" s="66"/>
      <c r="G7" s="55"/>
      <c r="H7" s="54"/>
      <c r="I7" s="55"/>
      <c r="J7" s="55"/>
      <c r="K7" s="55"/>
      <c r="L7" s="55"/>
      <c r="M7" s="55"/>
      <c r="N7" s="81"/>
      <c r="O7" s="81">
        <f t="shared" si="0"/>
        <v>0</v>
      </c>
      <c r="P7" s="81">
        <f t="shared" si="1"/>
        <v>0</v>
      </c>
      <c r="Q7" s="56"/>
    </row>
    <row r="8" spans="1:18" s="23" customFormat="1" ht="70.5" customHeight="1" x14ac:dyDescent="0.25">
      <c r="A8" s="54">
        <v>5</v>
      </c>
      <c r="B8" s="63"/>
      <c r="C8" s="64"/>
      <c r="D8" s="65"/>
      <c r="E8" s="65"/>
      <c r="F8" s="66"/>
      <c r="G8" s="55"/>
      <c r="H8" s="54"/>
      <c r="I8" s="55"/>
      <c r="J8" s="55"/>
      <c r="K8" s="55"/>
      <c r="L8" s="55"/>
      <c r="M8" s="55"/>
      <c r="N8" s="81"/>
      <c r="O8" s="81">
        <f t="shared" si="0"/>
        <v>0</v>
      </c>
      <c r="P8" s="81">
        <f t="shared" si="1"/>
        <v>0</v>
      </c>
      <c r="Q8" s="56"/>
    </row>
    <row r="9" spans="1:18" x14ac:dyDescent="0.25">
      <c r="A9" s="58"/>
      <c r="B9" s="58"/>
      <c r="C9" s="59"/>
      <c r="D9" s="57"/>
      <c r="E9" s="57"/>
      <c r="F9" s="57"/>
      <c r="G9" s="59"/>
      <c r="H9" s="57"/>
      <c r="I9" s="57"/>
      <c r="J9" s="57"/>
      <c r="K9" s="57"/>
      <c r="L9" s="57"/>
      <c r="M9" s="57"/>
      <c r="N9" s="82"/>
      <c r="O9" s="82"/>
      <c r="P9" s="82"/>
      <c r="Q9" s="57"/>
    </row>
    <row r="10" spans="1:18" ht="23.25" customHeight="1" x14ac:dyDescent="0.25">
      <c r="A10" s="58"/>
      <c r="B10" s="60" t="s">
        <v>93</v>
      </c>
      <c r="C10" s="61">
        <f>SUM(C4:C8)</f>
        <v>134000</v>
      </c>
      <c r="D10" s="62"/>
      <c r="E10" s="134">
        <f>SUM(E4:E8)</f>
        <v>3</v>
      </c>
      <c r="F10" s="61">
        <f>SUM(F4:F8)</f>
        <v>240</v>
      </c>
      <c r="G10" s="61">
        <f>SUM(G4:G8)</f>
        <v>1817.991</v>
      </c>
      <c r="H10" s="61">
        <f>SUM(H4:H8)</f>
        <v>60</v>
      </c>
      <c r="I10" s="61">
        <f t="shared" ref="I10:M10" si="2">SUM(I4:I8)</f>
        <v>181.79910000000001</v>
      </c>
      <c r="J10" s="61">
        <f t="shared" si="2"/>
        <v>90.899550000000005</v>
      </c>
      <c r="K10" s="61">
        <f t="shared" si="2"/>
        <v>1363.49325</v>
      </c>
      <c r="L10" s="61">
        <f t="shared" si="2"/>
        <v>90.899550000000005</v>
      </c>
      <c r="M10" s="61">
        <f t="shared" si="2"/>
        <v>90.899550000000005</v>
      </c>
      <c r="N10" s="61">
        <f>SUM(N4:N8)</f>
        <v>2117.991</v>
      </c>
      <c r="O10" s="61">
        <f>SUM(O4:O8)</f>
        <v>356.81828999999999</v>
      </c>
      <c r="P10" s="61">
        <f>SUM(P4:P8)</f>
        <v>2474.8092900000001</v>
      </c>
      <c r="Q10" s="57"/>
    </row>
    <row r="11" spans="1:18" x14ac:dyDescent="0.25">
      <c r="A11" s="58"/>
      <c r="B11" s="58"/>
      <c r="C11" s="58"/>
      <c r="D11" s="57"/>
      <c r="E11" s="57"/>
      <c r="F11" s="57"/>
      <c r="G11" s="58"/>
      <c r="H11" s="57"/>
      <c r="I11" s="57"/>
      <c r="J11" s="57"/>
      <c r="K11" s="57"/>
      <c r="L11" s="57"/>
      <c r="M11" s="57"/>
      <c r="N11" s="82"/>
      <c r="O11" s="82"/>
      <c r="P11" s="82"/>
      <c r="Q11" s="57"/>
    </row>
    <row r="12" spans="1:18" hidden="1" x14ac:dyDescent="0.25"/>
    <row r="13" spans="1:18" hidden="1" x14ac:dyDescent="0.25">
      <c r="G13" s="24"/>
      <c r="H13" s="24"/>
      <c r="I13" s="25"/>
    </row>
    <row r="14" spans="1:18" hidden="1" x14ac:dyDescent="0.25"/>
    <row r="15" spans="1:18" hidden="1" x14ac:dyDescent="0.25"/>
    <row r="16" spans="1:18" hidden="1" x14ac:dyDescent="0.25"/>
    <row r="17" spans="2:3" hidden="1" x14ac:dyDescent="0.25"/>
    <row r="18" spans="2:3" hidden="1" x14ac:dyDescent="0.25"/>
    <row r="19" spans="2:3" hidden="1" x14ac:dyDescent="0.25"/>
    <row r="20" spans="2:3" hidden="1" x14ac:dyDescent="0.25"/>
    <row r="21" spans="2:3" hidden="1" x14ac:dyDescent="0.25"/>
    <row r="22" spans="2:3" hidden="1" x14ac:dyDescent="0.25">
      <c r="C22" s="47"/>
    </row>
    <row r="23" spans="2:3" hidden="1" x14ac:dyDescent="0.25"/>
    <row r="24" spans="2:3" hidden="1" x14ac:dyDescent="0.25"/>
    <row r="25" spans="2:3" hidden="1" x14ac:dyDescent="0.25"/>
    <row r="26" spans="2:3" hidden="1" x14ac:dyDescent="0.25"/>
    <row r="27" spans="2:3" hidden="1" x14ac:dyDescent="0.25"/>
    <row r="28" spans="2:3" hidden="1" x14ac:dyDescent="0.25"/>
    <row r="29" spans="2:3" hidden="1" x14ac:dyDescent="0.25"/>
    <row r="30" spans="2:3" hidden="1" x14ac:dyDescent="0.25"/>
    <row r="31" spans="2:3" hidden="1" x14ac:dyDescent="0.25">
      <c r="B31" s="45"/>
    </row>
    <row r="32" spans="2:3" hidden="1" x14ac:dyDescent="0.25">
      <c r="B32" s="45"/>
    </row>
    <row r="33" spans="2:2" hidden="1" x14ac:dyDescent="0.25">
      <c r="B33" s="45"/>
    </row>
    <row r="34" spans="2:2" hidden="1" x14ac:dyDescent="0.25">
      <c r="B34" s="45"/>
    </row>
    <row r="35" spans="2:2" hidden="1" x14ac:dyDescent="0.25">
      <c r="B35" s="45"/>
    </row>
  </sheetData>
  <sheetProtection sheet="1" objects="1" scenarios="1"/>
  <mergeCells count="17">
    <mergeCell ref="O1:O3"/>
    <mergeCell ref="P1:P3"/>
    <mergeCell ref="A1:A3"/>
    <mergeCell ref="H1:M1"/>
    <mergeCell ref="E1:E3"/>
    <mergeCell ref="D1:D3"/>
    <mergeCell ref="N1:N3"/>
    <mergeCell ref="F1:F3"/>
    <mergeCell ref="G1:G3"/>
    <mergeCell ref="C1:C3"/>
    <mergeCell ref="B1:B3"/>
    <mergeCell ref="H2:H3"/>
    <mergeCell ref="I2:I3"/>
    <mergeCell ref="J2:J3"/>
    <mergeCell ref="K2:K3"/>
    <mergeCell ref="L2:L3"/>
    <mergeCell ref="M2:M3"/>
  </mergeCells>
  <dataValidations count="2">
    <dataValidation type="list" allowBlank="1" showInputMessage="1" showErrorMessage="1" sqref="E4:E8">
      <formula1>"1, 2, 3,4,5,6,7,8,9,10,11,12,13,14,15,16,17,18,19,20"</formula1>
    </dataValidation>
    <dataValidation type="list" allowBlank="1" showInputMessage="1" showErrorMessage="1" sqref="D4:D8">
      <formula1>"PF, PJ"</formula1>
    </dataValidation>
  </dataValidations>
  <pageMargins left="0.7" right="0.7" top="0.75" bottom="0.75" header="0.3" footer="0.3"/>
  <pageSetup paperSize="9" scale="61" fitToHeight="0" orientation="landscape" r:id="rId1"/>
  <ignoredErrors>
    <ignoredError sqref="H1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61" r:id="rId4" name="Button 17">
              <controlPr defaultSize="0" print="0" autoFill="0" autoPict="0" macro="[0]!calcul_comisioane">
                <anchor moveWithCells="1" sizeWithCells="1">
                  <from>
                    <xdr:col>17</xdr:col>
                    <xdr:colOff>85725</xdr:colOff>
                    <xdr:row>1</xdr:row>
                    <xdr:rowOff>123825</xdr:rowOff>
                  </from>
                  <to>
                    <xdr:col>17</xdr:col>
                    <xdr:colOff>1619250</xdr:colOff>
                    <xdr:row>1</xdr:row>
                    <xdr:rowOff>571500</xdr:rowOff>
                  </to>
                </anchor>
              </controlPr>
            </control>
          </mc:Choice>
        </mc:AlternateContent>
        <mc:AlternateContent xmlns:mc="http://schemas.openxmlformats.org/markup-compatibility/2006">
          <mc:Choice Requires="x14">
            <control shapeId="6179" r:id="rId5" name="Button 35">
              <controlPr defaultSize="0" print="0" autoFill="0" autoPict="0" macro="[0]!resetare_flormular">
                <anchor moveWithCells="1" sizeWithCells="1">
                  <from>
                    <xdr:col>17</xdr:col>
                    <xdr:colOff>76200</xdr:colOff>
                    <xdr:row>1</xdr:row>
                    <xdr:rowOff>695325</xdr:rowOff>
                  </from>
                  <to>
                    <xdr:col>17</xdr:col>
                    <xdr:colOff>1609725</xdr:colOff>
                    <xdr:row>2</xdr:row>
                    <xdr:rowOff>57150</xdr:rowOff>
                  </to>
                </anchor>
              </controlPr>
            </control>
          </mc:Choice>
        </mc:AlternateContent>
        <mc:AlternateContent xmlns:mc="http://schemas.openxmlformats.org/markup-compatibility/2006">
          <mc:Choice Requires="x14">
            <control shapeId="6348" r:id="rId6" name="Button 204">
              <controlPr defaultSize="0" print="0" autoFill="0" autoPict="0" macro="[0]!PDFActiveSheet">
                <anchor moveWithCells="1" sizeWithCells="1">
                  <from>
                    <xdr:col>17</xdr:col>
                    <xdr:colOff>76200</xdr:colOff>
                    <xdr:row>2</xdr:row>
                    <xdr:rowOff>180975</xdr:rowOff>
                  </from>
                  <to>
                    <xdr:col>17</xdr:col>
                    <xdr:colOff>1609725</xdr:colOff>
                    <xdr:row>3</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Tabela_final!$F$6:$F$8</xm:f>
          </x14:formula1>
          <xm:sqref>B4:B8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3:B198"/>
  <sheetViews>
    <sheetView topLeftCell="A184" workbookViewId="0">
      <selection activeCell="O24" sqref="O24"/>
    </sheetView>
  </sheetViews>
  <sheetFormatPr defaultRowHeight="15.75" x14ac:dyDescent="0.25"/>
  <cols>
    <col min="1" max="16384" width="9" style="57"/>
  </cols>
  <sheetData>
    <row r="3" spans="2:2" ht="21" x14ac:dyDescent="0.35">
      <c r="B3" s="84" t="s">
        <v>121</v>
      </c>
    </row>
    <row r="5" spans="2:2" x14ac:dyDescent="0.25">
      <c r="B5" s="57" t="s">
        <v>122</v>
      </c>
    </row>
    <row r="6" spans="2:2" x14ac:dyDescent="0.25">
      <c r="B6" s="57" t="s">
        <v>123</v>
      </c>
    </row>
    <row r="29" spans="2:2" x14ac:dyDescent="0.25">
      <c r="B29" s="57" t="s">
        <v>124</v>
      </c>
    </row>
    <row r="30" spans="2:2" x14ac:dyDescent="0.25">
      <c r="B30" s="57" t="s">
        <v>125</v>
      </c>
    </row>
    <row r="49" spans="2:2" x14ac:dyDescent="0.25">
      <c r="B49" s="57" t="s">
        <v>126</v>
      </c>
    </row>
    <row r="68" spans="2:2" x14ac:dyDescent="0.25">
      <c r="B68" s="57" t="s">
        <v>127</v>
      </c>
    </row>
    <row r="69" spans="2:2" x14ac:dyDescent="0.25">
      <c r="B69" s="57" t="s">
        <v>128</v>
      </c>
    </row>
    <row r="70" spans="2:2" x14ac:dyDescent="0.25">
      <c r="B70" s="57" t="s">
        <v>60</v>
      </c>
    </row>
    <row r="71" spans="2:2" x14ac:dyDescent="0.25">
      <c r="B71" s="57" t="s">
        <v>129</v>
      </c>
    </row>
    <row r="72" spans="2:2" x14ac:dyDescent="0.25">
      <c r="B72" s="57" t="s">
        <v>130</v>
      </c>
    </row>
    <row r="101" spans="2:2" x14ac:dyDescent="0.25">
      <c r="B101" s="57" t="s">
        <v>131</v>
      </c>
    </row>
    <row r="122" spans="2:2" x14ac:dyDescent="0.25">
      <c r="B122" s="57" t="s">
        <v>132</v>
      </c>
    </row>
    <row r="123" spans="2:2" x14ac:dyDescent="0.25">
      <c r="B123" s="57" t="s">
        <v>133</v>
      </c>
    </row>
    <row r="139" spans="2:2" x14ac:dyDescent="0.25">
      <c r="B139" s="57" t="s">
        <v>134</v>
      </c>
    </row>
    <row r="140" spans="2:2" x14ac:dyDescent="0.25">
      <c r="B140" s="57" t="s">
        <v>135</v>
      </c>
    </row>
    <row r="141" spans="2:2" x14ac:dyDescent="0.25">
      <c r="B141" s="57" t="s">
        <v>136</v>
      </c>
    </row>
    <row r="161" spans="2:2" x14ac:dyDescent="0.25">
      <c r="B161" s="57" t="s">
        <v>137</v>
      </c>
    </row>
    <row r="162" spans="2:2" x14ac:dyDescent="0.25">
      <c r="B162" s="57" t="s">
        <v>138</v>
      </c>
    </row>
    <row r="163" spans="2:2" x14ac:dyDescent="0.25">
      <c r="B163" s="57" t="s">
        <v>139</v>
      </c>
    </row>
    <row r="187" spans="2:2" x14ac:dyDescent="0.25">
      <c r="B187" s="57" t="s">
        <v>140</v>
      </c>
    </row>
    <row r="193" spans="2:2" ht="18.75" x14ac:dyDescent="0.3">
      <c r="B193" s="85" t="s">
        <v>141</v>
      </c>
    </row>
    <row r="195" spans="2:2" x14ac:dyDescent="0.25">
      <c r="B195" s="57" t="s">
        <v>142</v>
      </c>
    </row>
    <row r="197" spans="2:2" x14ac:dyDescent="0.25">
      <c r="B197" s="57" t="s">
        <v>143</v>
      </c>
    </row>
    <row r="198" spans="2:2" x14ac:dyDescent="0.25">
      <c r="B198" s="57" t="s">
        <v>144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
  <sheetViews>
    <sheetView zoomScaleNormal="100" workbookViewId="0">
      <selection activeCell="B1" sqref="B1"/>
    </sheetView>
  </sheetViews>
  <sheetFormatPr defaultColWidth="10.875" defaultRowHeight="15" x14ac:dyDescent="0.25"/>
  <cols>
    <col min="1" max="1" width="25.375" style="88" bestFit="1" customWidth="1"/>
    <col min="2" max="2" width="20.875" style="88" bestFit="1" customWidth="1"/>
    <col min="3" max="3" width="26.625" style="88" bestFit="1" customWidth="1"/>
    <col min="4" max="9" width="25" style="89" customWidth="1"/>
    <col min="10" max="16384" width="10.875" style="88"/>
  </cols>
  <sheetData>
    <row r="1" spans="1:9" ht="15.75" x14ac:dyDescent="0.25">
      <c r="A1" s="86" t="s">
        <v>145</v>
      </c>
      <c r="B1" s="87" t="s">
        <v>146</v>
      </c>
    </row>
    <row r="3" spans="1:9" x14ac:dyDescent="0.25">
      <c r="A3" s="90" t="s">
        <v>147</v>
      </c>
    </row>
    <row r="4" spans="1:9" ht="15.75" thickBot="1" x14ac:dyDescent="0.3"/>
    <row r="5" spans="1:9" x14ac:dyDescent="0.25">
      <c r="A5" s="113" t="s">
        <v>0</v>
      </c>
      <c r="B5" s="111" t="s">
        <v>1</v>
      </c>
      <c r="C5" s="111" t="s">
        <v>2</v>
      </c>
      <c r="D5" s="111"/>
      <c r="E5" s="111"/>
      <c r="F5" s="111"/>
      <c r="G5" s="111"/>
      <c r="H5" s="111"/>
      <c r="I5" s="112"/>
    </row>
    <row r="6" spans="1:9" ht="45" x14ac:dyDescent="0.25">
      <c r="A6" s="114"/>
      <c r="B6" s="115"/>
      <c r="C6" s="2" t="s">
        <v>9</v>
      </c>
      <c r="D6" s="2" t="s">
        <v>3</v>
      </c>
      <c r="E6" s="2" t="s">
        <v>4</v>
      </c>
      <c r="F6" s="2" t="s">
        <v>5</v>
      </c>
      <c r="G6" s="2" t="s">
        <v>6</v>
      </c>
      <c r="H6" s="2" t="s">
        <v>7</v>
      </c>
      <c r="I6" s="5" t="s">
        <v>8</v>
      </c>
    </row>
    <row r="7" spans="1:9" ht="75" x14ac:dyDescent="0.25">
      <c r="A7" s="6"/>
      <c r="B7" s="2" t="s">
        <v>10</v>
      </c>
      <c r="C7" s="4">
        <v>0.1</v>
      </c>
      <c r="D7" s="4">
        <v>0.05</v>
      </c>
      <c r="E7" s="2" t="s">
        <v>18</v>
      </c>
      <c r="F7" s="4">
        <v>0.75</v>
      </c>
      <c r="G7" s="4">
        <v>0.05</v>
      </c>
      <c r="H7" s="4">
        <v>0.05</v>
      </c>
      <c r="I7" s="7">
        <v>1</v>
      </c>
    </row>
    <row r="8" spans="1:9" x14ac:dyDescent="0.25">
      <c r="A8" s="8">
        <v>0</v>
      </c>
      <c r="B8" s="3">
        <v>1</v>
      </c>
      <c r="C8" s="3">
        <v>2</v>
      </c>
      <c r="D8" s="2">
        <v>3</v>
      </c>
      <c r="E8" s="2">
        <v>4</v>
      </c>
      <c r="F8" s="2">
        <v>5</v>
      </c>
      <c r="G8" s="2">
        <v>6</v>
      </c>
      <c r="H8" s="2">
        <v>7</v>
      </c>
      <c r="I8" s="5">
        <v>8</v>
      </c>
    </row>
    <row r="9" spans="1:9" x14ac:dyDescent="0.25">
      <c r="A9" s="116" t="s">
        <v>57</v>
      </c>
      <c r="B9" s="117"/>
      <c r="C9" s="117"/>
      <c r="D9" s="117"/>
      <c r="E9" s="117"/>
      <c r="F9" s="117"/>
      <c r="G9" s="117"/>
      <c r="H9" s="117"/>
      <c r="I9" s="118"/>
    </row>
    <row r="10" spans="1:9" ht="30" x14ac:dyDescent="0.25">
      <c r="A10" s="119" t="s">
        <v>11</v>
      </c>
      <c r="B10" s="38" t="s">
        <v>17</v>
      </c>
      <c r="C10" s="39">
        <v>0.1</v>
      </c>
      <c r="D10" s="39">
        <v>0.05</v>
      </c>
      <c r="E10" s="39" t="s">
        <v>18</v>
      </c>
      <c r="F10" s="39">
        <v>0.75</v>
      </c>
      <c r="G10" s="39">
        <v>0.05</v>
      </c>
      <c r="H10" s="39">
        <v>0.05</v>
      </c>
      <c r="I10" s="40" t="s">
        <v>56</v>
      </c>
    </row>
    <row r="11" spans="1:9" ht="30" x14ac:dyDescent="0.25">
      <c r="A11" s="119"/>
      <c r="B11" s="38" t="s">
        <v>24</v>
      </c>
      <c r="C11" s="41" t="s">
        <v>19</v>
      </c>
      <c r="D11" s="41" t="s">
        <v>19</v>
      </c>
      <c r="E11" s="41" t="s">
        <v>20</v>
      </c>
      <c r="F11" s="41" t="s">
        <v>19</v>
      </c>
      <c r="G11" s="41" t="s">
        <v>19</v>
      </c>
      <c r="H11" s="41" t="s">
        <v>19</v>
      </c>
      <c r="I11" s="40" t="s">
        <v>20</v>
      </c>
    </row>
    <row r="12" spans="1:9" ht="45" x14ac:dyDescent="0.25">
      <c r="A12" s="110" t="s">
        <v>12</v>
      </c>
      <c r="B12" s="38" t="s">
        <v>21</v>
      </c>
      <c r="C12" s="39">
        <v>0.1</v>
      </c>
      <c r="D12" s="39">
        <v>0.05</v>
      </c>
      <c r="E12" s="39" t="s">
        <v>18</v>
      </c>
      <c r="F12" s="39">
        <v>0.75</v>
      </c>
      <c r="G12" s="39">
        <v>0.05</v>
      </c>
      <c r="H12" s="39">
        <v>0.05</v>
      </c>
      <c r="I12" s="40" t="s">
        <v>22</v>
      </c>
    </row>
    <row r="13" spans="1:9" ht="30" x14ac:dyDescent="0.25">
      <c r="A13" s="110"/>
      <c r="B13" s="38" t="s">
        <v>24</v>
      </c>
      <c r="C13" s="41" t="s">
        <v>19</v>
      </c>
      <c r="D13" s="41" t="s">
        <v>19</v>
      </c>
      <c r="E13" s="41" t="s">
        <v>20</v>
      </c>
      <c r="F13" s="41" t="s">
        <v>19</v>
      </c>
      <c r="G13" s="41" t="s">
        <v>19</v>
      </c>
      <c r="H13" s="41" t="s">
        <v>19</v>
      </c>
      <c r="I13" s="40" t="s">
        <v>20</v>
      </c>
    </row>
    <row r="14" spans="1:9" ht="30" x14ac:dyDescent="0.25">
      <c r="A14" s="110" t="s">
        <v>13</v>
      </c>
      <c r="B14" s="38" t="s">
        <v>23</v>
      </c>
      <c r="C14" s="39">
        <v>0.1</v>
      </c>
      <c r="D14" s="39">
        <v>0.05</v>
      </c>
      <c r="E14" s="39" t="s">
        <v>18</v>
      </c>
      <c r="F14" s="39">
        <v>0.75</v>
      </c>
      <c r="G14" s="39">
        <v>0.05</v>
      </c>
      <c r="H14" s="39">
        <v>0.05</v>
      </c>
      <c r="I14" s="40" t="s">
        <v>25</v>
      </c>
    </row>
    <row r="15" spans="1:9" ht="30" x14ac:dyDescent="0.25">
      <c r="A15" s="110"/>
      <c r="B15" s="38" t="s">
        <v>24</v>
      </c>
      <c r="C15" s="41" t="s">
        <v>19</v>
      </c>
      <c r="D15" s="41" t="s">
        <v>19</v>
      </c>
      <c r="E15" s="41" t="s">
        <v>20</v>
      </c>
      <c r="F15" s="41" t="s">
        <v>19</v>
      </c>
      <c r="G15" s="41" t="s">
        <v>19</v>
      </c>
      <c r="H15" s="41" t="s">
        <v>19</v>
      </c>
      <c r="I15" s="40" t="s">
        <v>20</v>
      </c>
    </row>
    <row r="16" spans="1:9" ht="45" x14ac:dyDescent="0.25">
      <c r="A16" s="110" t="s">
        <v>14</v>
      </c>
      <c r="B16" s="38" t="s">
        <v>26</v>
      </c>
      <c r="C16" s="39">
        <v>0.1</v>
      </c>
      <c r="D16" s="39">
        <v>0.05</v>
      </c>
      <c r="E16" s="39" t="s">
        <v>18</v>
      </c>
      <c r="F16" s="39">
        <v>0.75</v>
      </c>
      <c r="G16" s="39">
        <v>0.05</v>
      </c>
      <c r="H16" s="39">
        <v>0.05</v>
      </c>
      <c r="I16" s="40" t="s">
        <v>29</v>
      </c>
    </row>
    <row r="17" spans="1:9" ht="30" x14ac:dyDescent="0.25">
      <c r="A17" s="110"/>
      <c r="B17" s="38" t="s">
        <v>24</v>
      </c>
      <c r="C17" s="41" t="s">
        <v>19</v>
      </c>
      <c r="D17" s="41" t="s">
        <v>19</v>
      </c>
      <c r="E17" s="41" t="s">
        <v>20</v>
      </c>
      <c r="F17" s="41" t="s">
        <v>19</v>
      </c>
      <c r="G17" s="41" t="s">
        <v>19</v>
      </c>
      <c r="H17" s="41" t="s">
        <v>19</v>
      </c>
      <c r="I17" s="40" t="s">
        <v>20</v>
      </c>
    </row>
    <row r="18" spans="1:9" ht="30" x14ac:dyDescent="0.25">
      <c r="A18" s="110" t="s">
        <v>15</v>
      </c>
      <c r="B18" s="38" t="s">
        <v>27</v>
      </c>
      <c r="C18" s="39">
        <v>0.1</v>
      </c>
      <c r="D18" s="39">
        <v>0.05</v>
      </c>
      <c r="E18" s="39" t="s">
        <v>18</v>
      </c>
      <c r="F18" s="39">
        <v>0.75</v>
      </c>
      <c r="G18" s="39">
        <v>0.05</v>
      </c>
      <c r="H18" s="39">
        <v>0.05</v>
      </c>
      <c r="I18" s="40" t="s">
        <v>30</v>
      </c>
    </row>
    <row r="19" spans="1:9" ht="30" x14ac:dyDescent="0.25">
      <c r="A19" s="110"/>
      <c r="B19" s="38" t="s">
        <v>24</v>
      </c>
      <c r="C19" s="41" t="s">
        <v>19</v>
      </c>
      <c r="D19" s="41" t="s">
        <v>19</v>
      </c>
      <c r="E19" s="41" t="s">
        <v>20</v>
      </c>
      <c r="F19" s="41" t="s">
        <v>19</v>
      </c>
      <c r="G19" s="41" t="s">
        <v>19</v>
      </c>
      <c r="H19" s="41" t="s">
        <v>19</v>
      </c>
      <c r="I19" s="40" t="s">
        <v>20</v>
      </c>
    </row>
    <row r="20" spans="1:9" ht="30" x14ac:dyDescent="0.25">
      <c r="A20" s="110" t="s">
        <v>16</v>
      </c>
      <c r="B20" s="38" t="s">
        <v>28</v>
      </c>
      <c r="C20" s="39">
        <v>0.1</v>
      </c>
      <c r="D20" s="39">
        <v>0.05</v>
      </c>
      <c r="E20" s="39" t="s">
        <v>18</v>
      </c>
      <c r="F20" s="39">
        <v>0.75</v>
      </c>
      <c r="G20" s="39">
        <v>0.05</v>
      </c>
      <c r="H20" s="39">
        <v>0.05</v>
      </c>
      <c r="I20" s="40" t="s">
        <v>31</v>
      </c>
    </row>
    <row r="21" spans="1:9" ht="30" x14ac:dyDescent="0.25">
      <c r="A21" s="110"/>
      <c r="B21" s="38" t="s">
        <v>24</v>
      </c>
      <c r="C21" s="41" t="s">
        <v>19</v>
      </c>
      <c r="D21" s="41" t="s">
        <v>19</v>
      </c>
      <c r="E21" s="41" t="s">
        <v>20</v>
      </c>
      <c r="F21" s="41" t="s">
        <v>19</v>
      </c>
      <c r="G21" s="41" t="s">
        <v>19</v>
      </c>
      <c r="H21" s="41" t="s">
        <v>19</v>
      </c>
      <c r="I21" s="40" t="s">
        <v>20</v>
      </c>
    </row>
    <row r="22" spans="1:9" x14ac:dyDescent="0.25">
      <c r="A22" s="120" t="s">
        <v>32</v>
      </c>
      <c r="B22" s="121"/>
      <c r="C22" s="121"/>
      <c r="D22" s="121"/>
      <c r="E22" s="121"/>
      <c r="F22" s="121"/>
      <c r="G22" s="121"/>
      <c r="H22" s="121"/>
      <c r="I22" s="122"/>
    </row>
    <row r="23" spans="1:9" x14ac:dyDescent="0.25">
      <c r="A23" s="123" t="s">
        <v>33</v>
      </c>
      <c r="B23" s="121"/>
      <c r="C23" s="121"/>
      <c r="D23" s="121"/>
      <c r="E23" s="121"/>
      <c r="F23" s="121"/>
      <c r="G23" s="121"/>
      <c r="H23" s="121"/>
      <c r="I23" s="122"/>
    </row>
    <row r="24" spans="1:9" ht="36.950000000000003" customHeight="1" x14ac:dyDescent="0.25">
      <c r="A24" s="9" t="s">
        <v>11</v>
      </c>
      <c r="B24" s="124" t="s">
        <v>34</v>
      </c>
      <c r="C24" s="121"/>
      <c r="D24" s="121"/>
      <c r="E24" s="121"/>
      <c r="F24" s="121"/>
      <c r="G24" s="121"/>
      <c r="H24" s="121"/>
      <c r="I24" s="122"/>
    </row>
    <row r="25" spans="1:9" ht="30" customHeight="1" x14ac:dyDescent="0.25">
      <c r="A25" s="9" t="s">
        <v>12</v>
      </c>
      <c r="B25" s="125" t="s">
        <v>78</v>
      </c>
      <c r="C25" s="126"/>
      <c r="D25" s="126"/>
      <c r="E25" s="126"/>
      <c r="F25" s="126"/>
      <c r="G25" s="126"/>
      <c r="H25" s="126"/>
      <c r="I25" s="127"/>
    </row>
    <row r="26" spans="1:9" ht="48" customHeight="1" x14ac:dyDescent="0.25">
      <c r="A26" s="120" t="s">
        <v>35</v>
      </c>
      <c r="B26" s="121"/>
      <c r="C26" s="121"/>
      <c r="D26" s="121"/>
      <c r="E26" s="121"/>
      <c r="F26" s="121"/>
      <c r="G26" s="121"/>
      <c r="H26" s="121"/>
      <c r="I26" s="122"/>
    </row>
    <row r="27" spans="1:9" x14ac:dyDescent="0.25">
      <c r="A27" s="128" t="s">
        <v>36</v>
      </c>
      <c r="B27" s="117"/>
      <c r="C27" s="117"/>
      <c r="D27" s="117"/>
      <c r="E27" s="117"/>
      <c r="F27" s="117"/>
      <c r="G27" s="117"/>
      <c r="H27" s="117"/>
      <c r="I27" s="118"/>
    </row>
    <row r="28" spans="1:9" ht="30" x14ac:dyDescent="0.25">
      <c r="A28" s="119" t="s">
        <v>11</v>
      </c>
      <c r="B28" s="42" t="s">
        <v>38</v>
      </c>
      <c r="C28" s="39">
        <v>0.1</v>
      </c>
      <c r="D28" s="39">
        <v>0.05</v>
      </c>
      <c r="E28" s="39" t="s">
        <v>18</v>
      </c>
      <c r="F28" s="39">
        <v>0.75</v>
      </c>
      <c r="G28" s="39">
        <v>0.05</v>
      </c>
      <c r="H28" s="39">
        <v>0.05</v>
      </c>
      <c r="I28" s="40" t="s">
        <v>42</v>
      </c>
    </row>
    <row r="29" spans="1:9" ht="30" x14ac:dyDescent="0.25">
      <c r="A29" s="119"/>
      <c r="B29" s="42" t="s">
        <v>24</v>
      </c>
      <c r="C29" s="41" t="s">
        <v>19</v>
      </c>
      <c r="D29" s="41" t="s">
        <v>19</v>
      </c>
      <c r="E29" s="41" t="s">
        <v>20</v>
      </c>
      <c r="F29" s="41" t="s">
        <v>19</v>
      </c>
      <c r="G29" s="41" t="s">
        <v>19</v>
      </c>
      <c r="H29" s="41" t="s">
        <v>19</v>
      </c>
      <c r="I29" s="40" t="s">
        <v>20</v>
      </c>
    </row>
    <row r="30" spans="1:9" ht="45" x14ac:dyDescent="0.25">
      <c r="A30" s="110" t="s">
        <v>12</v>
      </c>
      <c r="B30" s="43" t="s">
        <v>37</v>
      </c>
      <c r="C30" s="39">
        <v>0.1</v>
      </c>
      <c r="D30" s="39">
        <v>0.05</v>
      </c>
      <c r="E30" s="39" t="s">
        <v>18</v>
      </c>
      <c r="F30" s="39">
        <v>0.75</v>
      </c>
      <c r="G30" s="39">
        <v>0.05</v>
      </c>
      <c r="H30" s="39">
        <v>0.05</v>
      </c>
      <c r="I30" s="40" t="s">
        <v>43</v>
      </c>
    </row>
    <row r="31" spans="1:9" ht="30" x14ac:dyDescent="0.25">
      <c r="A31" s="110"/>
      <c r="B31" s="42" t="s">
        <v>24</v>
      </c>
      <c r="C31" s="41" t="s">
        <v>19</v>
      </c>
      <c r="D31" s="41" t="s">
        <v>19</v>
      </c>
      <c r="E31" s="41" t="s">
        <v>20</v>
      </c>
      <c r="F31" s="41" t="s">
        <v>19</v>
      </c>
      <c r="G31" s="41" t="s">
        <v>19</v>
      </c>
      <c r="H31" s="41" t="s">
        <v>19</v>
      </c>
      <c r="I31" s="40" t="s">
        <v>20</v>
      </c>
    </row>
    <row r="32" spans="1:9" ht="45" x14ac:dyDescent="0.25">
      <c r="A32" s="110" t="s">
        <v>13</v>
      </c>
      <c r="B32" s="42" t="s">
        <v>39</v>
      </c>
      <c r="C32" s="39">
        <v>0.1</v>
      </c>
      <c r="D32" s="39">
        <v>0.05</v>
      </c>
      <c r="E32" s="39" t="s">
        <v>18</v>
      </c>
      <c r="F32" s="39">
        <v>0.75</v>
      </c>
      <c r="G32" s="39">
        <v>0.05</v>
      </c>
      <c r="H32" s="39">
        <v>0.05</v>
      </c>
      <c r="I32" s="40" t="s">
        <v>44</v>
      </c>
    </row>
    <row r="33" spans="1:9" ht="30" x14ac:dyDescent="0.25">
      <c r="A33" s="110"/>
      <c r="B33" s="42" t="s">
        <v>24</v>
      </c>
      <c r="C33" s="41" t="s">
        <v>19</v>
      </c>
      <c r="D33" s="41" t="s">
        <v>19</v>
      </c>
      <c r="E33" s="41" t="s">
        <v>20</v>
      </c>
      <c r="F33" s="41" t="s">
        <v>19</v>
      </c>
      <c r="G33" s="41" t="s">
        <v>19</v>
      </c>
      <c r="H33" s="41" t="s">
        <v>19</v>
      </c>
      <c r="I33" s="40" t="s">
        <v>20</v>
      </c>
    </row>
    <row r="34" spans="1:9" ht="45" x14ac:dyDescent="0.25">
      <c r="A34" s="110" t="s">
        <v>14</v>
      </c>
      <c r="B34" s="42" t="s">
        <v>40</v>
      </c>
      <c r="C34" s="39">
        <v>0.1</v>
      </c>
      <c r="D34" s="39">
        <v>0.05</v>
      </c>
      <c r="E34" s="39" t="s">
        <v>18</v>
      </c>
      <c r="F34" s="39">
        <v>0.75</v>
      </c>
      <c r="G34" s="39">
        <v>0.05</v>
      </c>
      <c r="H34" s="39">
        <v>0.05</v>
      </c>
      <c r="I34" s="40" t="s">
        <v>45</v>
      </c>
    </row>
    <row r="35" spans="1:9" ht="30" x14ac:dyDescent="0.25">
      <c r="A35" s="110"/>
      <c r="B35" s="42" t="s">
        <v>24</v>
      </c>
      <c r="C35" s="41" t="s">
        <v>19</v>
      </c>
      <c r="D35" s="41" t="s">
        <v>19</v>
      </c>
      <c r="E35" s="41" t="s">
        <v>20</v>
      </c>
      <c r="F35" s="41" t="s">
        <v>19</v>
      </c>
      <c r="G35" s="41" t="s">
        <v>19</v>
      </c>
      <c r="H35" s="41" t="s">
        <v>19</v>
      </c>
      <c r="I35" s="40" t="s">
        <v>20</v>
      </c>
    </row>
    <row r="36" spans="1:9" ht="30" x14ac:dyDescent="0.25">
      <c r="A36" s="110" t="s">
        <v>15</v>
      </c>
      <c r="B36" s="44" t="s">
        <v>41</v>
      </c>
      <c r="C36" s="39">
        <v>0.1</v>
      </c>
      <c r="D36" s="39">
        <v>0.05</v>
      </c>
      <c r="E36" s="39" t="s">
        <v>18</v>
      </c>
      <c r="F36" s="39">
        <v>0.75</v>
      </c>
      <c r="G36" s="39">
        <v>0.05</v>
      </c>
      <c r="H36" s="39">
        <v>0.05</v>
      </c>
      <c r="I36" s="40" t="s">
        <v>46</v>
      </c>
    </row>
    <row r="37" spans="1:9" ht="30" x14ac:dyDescent="0.25">
      <c r="A37" s="110"/>
      <c r="B37" s="42" t="s">
        <v>24</v>
      </c>
      <c r="C37" s="41" t="s">
        <v>19</v>
      </c>
      <c r="D37" s="41" t="s">
        <v>19</v>
      </c>
      <c r="E37" s="41" t="s">
        <v>20</v>
      </c>
      <c r="F37" s="41" t="s">
        <v>19</v>
      </c>
      <c r="G37" s="41" t="s">
        <v>19</v>
      </c>
      <c r="H37" s="41" t="s">
        <v>19</v>
      </c>
      <c r="I37" s="40" t="s">
        <v>20</v>
      </c>
    </row>
    <row r="38" spans="1:9" ht="63.95" customHeight="1" x14ac:dyDescent="0.25">
      <c r="A38" s="120" t="s">
        <v>47</v>
      </c>
      <c r="B38" s="121"/>
      <c r="C38" s="121"/>
      <c r="D38" s="121"/>
      <c r="E38" s="121"/>
      <c r="F38" s="121"/>
      <c r="G38" s="121"/>
      <c r="H38" s="121"/>
      <c r="I38" s="122"/>
    </row>
    <row r="39" spans="1:9" ht="63.95" customHeight="1" x14ac:dyDescent="0.25">
      <c r="A39" s="120" t="s">
        <v>48</v>
      </c>
      <c r="B39" s="121"/>
      <c r="C39" s="121"/>
      <c r="D39" s="121"/>
      <c r="E39" s="121"/>
      <c r="F39" s="121"/>
      <c r="G39" s="121"/>
      <c r="H39" s="121"/>
      <c r="I39" s="122"/>
    </row>
    <row r="40" spans="1:9" ht="63.95" customHeight="1" x14ac:dyDescent="0.25">
      <c r="A40" s="120" t="s">
        <v>49</v>
      </c>
      <c r="B40" s="121"/>
      <c r="C40" s="121"/>
      <c r="D40" s="121"/>
      <c r="E40" s="121"/>
      <c r="F40" s="121"/>
      <c r="G40" s="121"/>
      <c r="H40" s="121"/>
      <c r="I40" s="122"/>
    </row>
    <row r="41" spans="1:9" ht="63.95" customHeight="1" x14ac:dyDescent="0.25">
      <c r="A41" s="120" t="s">
        <v>50</v>
      </c>
      <c r="B41" s="121"/>
      <c r="C41" s="121"/>
      <c r="D41" s="121"/>
      <c r="E41" s="121"/>
      <c r="F41" s="121"/>
      <c r="G41" s="121"/>
      <c r="H41" s="121"/>
      <c r="I41" s="122"/>
    </row>
    <row r="42" spans="1:9" ht="63.95" customHeight="1" x14ac:dyDescent="0.25">
      <c r="A42" s="120" t="s">
        <v>51</v>
      </c>
      <c r="B42" s="121"/>
      <c r="C42" s="121"/>
      <c r="D42" s="121"/>
      <c r="E42" s="121"/>
      <c r="F42" s="121"/>
      <c r="G42" s="121"/>
      <c r="H42" s="121"/>
      <c r="I42" s="122"/>
    </row>
    <row r="43" spans="1:9" ht="63.95" customHeight="1" x14ac:dyDescent="0.25">
      <c r="A43" s="120" t="s">
        <v>52</v>
      </c>
      <c r="B43" s="124"/>
      <c r="C43" s="124"/>
      <c r="D43" s="124"/>
      <c r="E43" s="124"/>
      <c r="F43" s="124"/>
      <c r="G43" s="124"/>
      <c r="H43" s="124"/>
      <c r="I43" s="133"/>
    </row>
    <row r="44" spans="1:9" ht="18.95" customHeight="1" x14ac:dyDescent="0.25">
      <c r="A44" s="123" t="s">
        <v>53</v>
      </c>
      <c r="B44" s="121"/>
      <c r="C44" s="121"/>
      <c r="D44" s="121"/>
      <c r="E44" s="121"/>
      <c r="F44" s="121"/>
      <c r="G44" s="121"/>
      <c r="H44" s="121"/>
      <c r="I44" s="122"/>
    </row>
    <row r="45" spans="1:9" ht="38.1" customHeight="1" x14ac:dyDescent="0.25">
      <c r="A45" s="9" t="s">
        <v>11</v>
      </c>
      <c r="B45" s="129" t="s">
        <v>54</v>
      </c>
      <c r="C45" s="121"/>
      <c r="D45" s="121"/>
      <c r="E45" s="121"/>
      <c r="F45" s="121"/>
      <c r="G45" s="121"/>
      <c r="H45" s="121"/>
      <c r="I45" s="122"/>
    </row>
    <row r="46" spans="1:9" ht="51" customHeight="1" thickBot="1" x14ac:dyDescent="0.3">
      <c r="A46" s="10" t="s">
        <v>12</v>
      </c>
      <c r="B46" s="130" t="s">
        <v>55</v>
      </c>
      <c r="C46" s="131"/>
      <c r="D46" s="131"/>
      <c r="E46" s="131"/>
      <c r="F46" s="131"/>
      <c r="G46" s="131"/>
      <c r="H46" s="131"/>
      <c r="I46" s="132"/>
    </row>
    <row r="51" spans="1:7" x14ac:dyDescent="0.25">
      <c r="A51" s="91" t="s">
        <v>105</v>
      </c>
    </row>
    <row r="53" spans="1:7" ht="75" x14ac:dyDescent="0.25">
      <c r="A53" s="2" t="s">
        <v>106</v>
      </c>
      <c r="B53" s="2" t="s">
        <v>107</v>
      </c>
      <c r="C53" s="2" t="s">
        <v>108</v>
      </c>
      <c r="D53" s="2" t="s">
        <v>4</v>
      </c>
      <c r="E53" s="2" t="s">
        <v>109</v>
      </c>
      <c r="F53" s="2" t="s">
        <v>7</v>
      </c>
      <c r="G53" s="2" t="s">
        <v>8</v>
      </c>
    </row>
    <row r="54" spans="1:7" ht="60" x14ac:dyDescent="0.25">
      <c r="A54" s="2" t="s">
        <v>10</v>
      </c>
      <c r="B54" s="4">
        <v>0.85</v>
      </c>
      <c r="C54" s="4">
        <v>0.05</v>
      </c>
      <c r="D54" s="48">
        <v>5.0000000000000001E-3</v>
      </c>
      <c r="E54" s="49">
        <v>0.05</v>
      </c>
      <c r="F54" s="48">
        <v>4.4999999999999998E-2</v>
      </c>
      <c r="G54" s="49">
        <v>1</v>
      </c>
    </row>
    <row r="55" spans="1:7" ht="30" x14ac:dyDescent="0.25">
      <c r="A55" s="52" t="s">
        <v>110</v>
      </c>
      <c r="B55" s="50">
        <v>0.85</v>
      </c>
      <c r="C55" s="50">
        <v>0.05</v>
      </c>
      <c r="D55" s="51">
        <v>5.0000000000000001E-3</v>
      </c>
      <c r="E55" s="1">
        <v>0.05</v>
      </c>
      <c r="F55" s="51">
        <v>4.4999999999999998E-2</v>
      </c>
      <c r="G55" s="53" t="s">
        <v>114</v>
      </c>
    </row>
    <row r="56" spans="1:7" ht="30" x14ac:dyDescent="0.25">
      <c r="A56" s="52" t="s">
        <v>111</v>
      </c>
      <c r="B56" s="50">
        <v>0.85</v>
      </c>
      <c r="C56" s="50">
        <v>0.05</v>
      </c>
      <c r="D56" s="51">
        <v>5.0000000000000001E-3</v>
      </c>
      <c r="E56" s="1">
        <v>0.05</v>
      </c>
      <c r="F56" s="51">
        <v>4.4999999999999998E-2</v>
      </c>
      <c r="G56" s="53" t="s">
        <v>115</v>
      </c>
    </row>
    <row r="57" spans="1:7" ht="30" x14ac:dyDescent="0.25">
      <c r="A57" s="52" t="s">
        <v>112</v>
      </c>
      <c r="B57" s="50">
        <v>0.85</v>
      </c>
      <c r="C57" s="50">
        <v>0.05</v>
      </c>
      <c r="D57" s="51">
        <v>5.0000000000000001E-3</v>
      </c>
      <c r="E57" s="1">
        <v>0.05</v>
      </c>
      <c r="F57" s="51">
        <v>4.4999999999999998E-2</v>
      </c>
      <c r="G57" s="53" t="s">
        <v>116</v>
      </c>
    </row>
    <row r="58" spans="1:7" ht="30" x14ac:dyDescent="0.25">
      <c r="A58" s="52" t="s">
        <v>113</v>
      </c>
      <c r="B58" s="50">
        <v>0.85</v>
      </c>
      <c r="C58" s="50">
        <v>0.05</v>
      </c>
      <c r="D58" s="51">
        <v>5.0000000000000001E-3</v>
      </c>
      <c r="E58" s="1">
        <v>0.05</v>
      </c>
      <c r="F58" s="51">
        <v>4.4999999999999998E-2</v>
      </c>
      <c r="G58" s="53" t="s">
        <v>117</v>
      </c>
    </row>
  </sheetData>
  <mergeCells count="30">
    <mergeCell ref="B45:I45"/>
    <mergeCell ref="B46:I46"/>
    <mergeCell ref="A39:I39"/>
    <mergeCell ref="A40:I40"/>
    <mergeCell ref="A41:I41"/>
    <mergeCell ref="A43:I43"/>
    <mergeCell ref="A42:I42"/>
    <mergeCell ref="A44:I44"/>
    <mergeCell ref="A38:I38"/>
    <mergeCell ref="A22:I22"/>
    <mergeCell ref="A23:I23"/>
    <mergeCell ref="B24:I24"/>
    <mergeCell ref="B25:I25"/>
    <mergeCell ref="A26:I26"/>
    <mergeCell ref="A27:I27"/>
    <mergeCell ref="A28:A29"/>
    <mergeCell ref="A30:A31"/>
    <mergeCell ref="A32:A33"/>
    <mergeCell ref="A34:A35"/>
    <mergeCell ref="A36:A37"/>
    <mergeCell ref="A14:A15"/>
    <mergeCell ref="A16:A17"/>
    <mergeCell ref="A18:A19"/>
    <mergeCell ref="A20:A21"/>
    <mergeCell ref="C5:I5"/>
    <mergeCell ref="A5:A6"/>
    <mergeCell ref="B5:B6"/>
    <mergeCell ref="A9:I9"/>
    <mergeCell ref="A10:A11"/>
    <mergeCell ref="A12:A13"/>
  </mergeCells>
  <hyperlinks>
    <hyperlink ref="B1"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Calculator comisioane______</vt:lpstr>
      <vt:lpstr>Tabela_final</vt:lpstr>
      <vt:lpstr>Calculator</vt:lpstr>
      <vt:lpstr>Instructiuni</vt:lpstr>
      <vt:lpstr>omj46c_Anexa 2</vt:lpstr>
      <vt:lpstr>Calculator!Print_Area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Calin Bule</dc:creator>
  <cp:lastModifiedBy>Calin Gabriel Bule</cp:lastModifiedBy>
  <cp:lastPrinted>2019-05-27T13:33:53Z</cp:lastPrinted>
  <dcterms:created xsi:type="dcterms:W3CDTF">2019-04-26T10:57:47Z</dcterms:created>
  <dcterms:modified xsi:type="dcterms:W3CDTF">2020-01-01T07:55:47Z</dcterms:modified>
</cp:coreProperties>
</file>